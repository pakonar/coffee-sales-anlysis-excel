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konar\Desktop\Coffe sales dashboard - portfolio project\"/>
    </mc:Choice>
  </mc:AlternateContent>
  <xr:revisionPtr revIDLastSave="0" documentId="13_ncr:1_{6CB20F7B-CB38-4252-82D2-DA4C07E6F35B}" xr6:coauthVersionLast="47" xr6:coauthVersionMax="47" xr10:uidLastSave="{00000000-0000-0000-0000-000000000000}"/>
  <bookViews>
    <workbookView showSheetTabs="0" xWindow="-120" yWindow="-120" windowWidth="38640" windowHeight="21120" tabRatio="6" xr2:uid="{00000000-000D-0000-FFFF-FFFF00000000}"/>
  </bookViews>
  <sheets>
    <sheet name="Dashboard" sheetId="22" r:id="rId1"/>
    <sheet name="Total Sales" sheetId="18" r:id="rId2"/>
    <sheet name="Total Profit" sheetId="26" r:id="rId3"/>
    <sheet name="Total Orders" sheetId="29" r:id="rId4"/>
    <sheet name="CountryBarChart" sheetId="20" r:id="rId5"/>
    <sheet name="Top 5 Customers" sheetId="21" r:id="rId6"/>
    <sheet name="orders" sheetId="17" r:id="rId7"/>
    <sheet name="customers" sheetId="13" r:id="rId8"/>
    <sheet name="products" sheetId="2" r:id="rId9"/>
  </sheets>
  <definedNames>
    <definedName name="_xlnm._FilterDatabase" localSheetId="6" hidden="1">orders!$A$1:$M$1001</definedName>
    <definedName name="_xlnm._FilterDatabase" localSheetId="8" hidden="1">products!$A$1:$G$49</definedName>
    <definedName name="NativeTimeline_Order_Date">#N/A</definedName>
    <definedName name="Slicer_Coffe_Type_Name">#N/A</definedName>
    <definedName name="Slicer_Loyalty_Card">#N/A</definedName>
    <definedName name="Slicer_Roast_Type_Name">#N/A</definedName>
    <definedName name="Slicer_Size">#N/A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 i="21" l="1"/>
  <c r="B58" i="18"/>
  <c r="B8" i="26"/>
  <c r="Q2" i="17"/>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2" i="17"/>
  <c r="M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9" i="17"/>
  <c r="G3" i="17"/>
  <c r="G4" i="17"/>
  <c r="G5" i="17"/>
  <c r="G6" i="17"/>
  <c r="G7" i="17"/>
  <c r="G8"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D6" i="29"/>
  <c r="B55" i="18"/>
  <c r="C55" i="18"/>
  <c r="B4" i="26"/>
</calcChain>
</file>

<file path=xl/sharedStrings.xml><?xml version="1.0" encoding="utf-8"?>
<sst xmlns="http://schemas.openxmlformats.org/spreadsheetml/2006/main" count="12057" uniqueCount="6223">
  <si>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</si>
  <si>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</si>
  <si>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</si>
  <si>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</si>
  <si>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</si>
  <si>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</si>
  <si>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</si>
  <si>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</si>
  <si>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</si>
  <si>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</si>
  <si>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</si>
  <si>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</si>
  <si>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</si>
  <si>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</si>
  <si>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</si>
  <si>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</si>
  <si>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</si>
  <si>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</si>
  <si>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</si>
  <si>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</si>
  <si>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</si>
  <si>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</si>
  <si>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</si>
  <si>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</si>
  <si>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</si>
  <si>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</si>
  <si>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</si>
  <si>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</si>
  <si>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</si>
  <si>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</si>
  <si>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</si>
  <si>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</si>
  <si>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</si>
  <si>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</si>
  <si>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</si>
  <si>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</si>
  <si>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</si>
  <si>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</si>
  <si>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</si>
  <si>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</si>
  <si>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</si>
  <si>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</si>
  <si>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</si>
  <si>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</si>
  <si>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</si>
  <si>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</si>
  <si>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</si>
  <si>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</si>
  <si>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</si>
  <si>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</si>
  <si>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</si>
  <si>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</si>
  <si>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</si>
  <si>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</si>
  <si>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</si>
  <si>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</si>
  <si>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</si>
  <si>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</si>
  <si>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</si>
  <si>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</si>
  <si>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</si>
  <si>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</si>
  <si>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</si>
  <si>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</si>
  <si>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</si>
  <si>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</si>
  <si>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</si>
  <si>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</si>
  <si>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</si>
  <si>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</si>
  <si>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</si>
  <si>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</si>
  <si>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</si>
  <si>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</si>
  <si>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</si>
  <si>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</si>
  <si>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</si>
  <si>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</si>
  <si>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</si>
  <si>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</si>
  <si>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</si>
  <si>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</si>
  <si>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</si>
  <si>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</si>
  <si>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</si>
  <si>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</si>
  <si>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</si>
  <si>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</si>
  <si>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</si>
  <si>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</si>
  <si>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</si>
  <si>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</si>
  <si>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</si>
  <si>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</si>
  <si>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</si>
  <si>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</si>
  <si>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</si>
  <si>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</si>
  <si>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</si>
  <si>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</si>
  <si>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</si>
  <si>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</si>
  <si>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</si>
  <si>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</si>
  <si>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</si>
  <si>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</si>
  <si>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</si>
  <si>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</si>
  <si>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</si>
  <si>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</si>
  <si>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</si>
  <si>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</si>
  <si>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</si>
  <si>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</si>
  <si>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</si>
  <si>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</si>
  <si>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</si>
  <si>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</si>
  <si>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</si>
  <si>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</si>
  <si>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</si>
  <si>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</si>
  <si>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</si>
  <si>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</si>
  <si>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</si>
  <si>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</si>
  <si>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</si>
  <si>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</si>
  <si>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</si>
  <si>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</si>
  <si>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</si>
  <si>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</si>
  <si>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</si>
  <si>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</si>
  <si>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</si>
  <si>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</si>
  <si>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</si>
  <si>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</si>
  <si>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</si>
  <si>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</si>
  <si>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</si>
  <si>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</si>
  <si>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</si>
  <si>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</si>
  <si>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</si>
  <si>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</si>
  <si>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</si>
  <si>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</si>
  <si>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</si>
  <si>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</si>
  <si>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</si>
  <si>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</si>
  <si>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</si>
  <si>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</si>
  <si>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</si>
  <si>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</si>
  <si>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</si>
  <si>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</si>
  <si>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</si>
  <si>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</si>
  <si>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</si>
  <si>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</si>
  <si>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</si>
  <si>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</si>
  <si>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</si>
  <si>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</si>
  <si>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</si>
  <si>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</si>
  <si>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</si>
  <si>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</si>
  <si>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</si>
  <si>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</si>
  <si>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</si>
  <si>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</si>
  <si>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</si>
  <si>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</si>
  <si>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</si>
  <si>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</si>
  <si>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</si>
  <si>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</si>
  <si>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</si>
  <si>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</si>
  <si>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</si>
  <si>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</si>
  <si>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</si>
  <si>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</si>
  <si>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</si>
  <si>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</si>
  <si>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</si>
  <si>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</si>
  <si>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</si>
  <si>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</si>
  <si>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</si>
  <si>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</si>
  <si>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</si>
  <si>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</si>
  <si>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</si>
  <si>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</si>
  <si>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</si>
  <si>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</si>
  <si>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</si>
  <si>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</si>
  <si>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</si>
  <si>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</si>
  <si>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</si>
  <si>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</si>
  <si>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</si>
  <si>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</si>
  <si>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</si>
  <si>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</si>
  <si>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</si>
  <si>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</si>
  <si>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</si>
  <si>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</si>
  <si>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</si>
  <si>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</si>
  <si>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</si>
  <si>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</si>
  <si>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</si>
  <si>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</si>
  <si>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</si>
  <si>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</si>
  <si>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</si>
  <si>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</si>
  <si>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</si>
  <si>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</si>
  <si>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</si>
  <si>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</si>
  <si>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</si>
  <si>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</si>
  <si>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</si>
  <si>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</si>
  <si>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</si>
  <si>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</si>
  <si>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</si>
  <si>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</si>
  <si>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</si>
  <si>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</si>
  <si>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</si>
  <si>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</si>
  <si>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</si>
  <si>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</si>
  <si>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</si>
  <si>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</si>
  <si>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</si>
  <si>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</si>
  <si>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</si>
  <si>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</si>
  <si>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</si>
  <si>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</si>
  <si>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</si>
  <si>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</si>
  <si>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</si>
  <si>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</si>
  <si>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</si>
  <si>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</si>
  <si>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</si>
  <si>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</si>
  <si>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</si>
  <si>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</si>
  <si>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</si>
  <si>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</si>
  <si>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</si>
  <si>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</si>
  <si>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</si>
  <si>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</si>
  <si>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</si>
  <si>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</si>
  <si>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</si>
  <si>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</si>
  <si>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</si>
  <si>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</si>
  <si>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</si>
  <si>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</si>
  <si>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</si>
  <si>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</si>
  <si>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</si>
  <si>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</si>
  <si>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</si>
  <si>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</si>
  <si>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</si>
  <si>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</si>
  <si>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</si>
  <si>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</si>
  <si>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</si>
  <si>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</si>
  <si>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</si>
  <si>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</si>
  <si>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</si>
  <si>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</si>
  <si>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</si>
  <si>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</si>
  <si>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</si>
  <si>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</si>
  <si>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</si>
  <si>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</si>
  <si>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</si>
  <si>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</si>
  <si>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</si>
  <si>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</si>
  <si>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</si>
  <si>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</si>
  <si>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</si>
  <si>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</si>
  <si>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</si>
  <si>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</si>
  <si>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</si>
  <si>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</si>
  <si>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</si>
  <si>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</si>
  <si>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</si>
  <si>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</si>
  <si>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</si>
  <si>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</si>
  <si>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</si>
  <si>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</si>
  <si>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</si>
  <si>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</si>
  <si>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</si>
  <si>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</si>
  <si>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</si>
  <si>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</si>
  <si>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</si>
  <si>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</si>
  <si>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</si>
  <si>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</si>
  <si>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</si>
  <si>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</si>
  <si>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</si>
  <si>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</si>
  <si>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</si>
  <si>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</si>
  <si>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</si>
  <si>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</si>
  <si>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</si>
  <si>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</si>
  <si>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</si>
  <si>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</si>
  <si>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</si>
  <si>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</si>
  <si>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</si>
  <si>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</si>
  <si>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</si>
  <si>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</si>
  <si>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</si>
  <si>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</si>
  <si>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</si>
  <si>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</si>
  <si>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</si>
  <si>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</si>
  <si>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</si>
  <si>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</si>
  <si>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</si>
  <si>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</si>
  <si>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</si>
  <si>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</si>
  <si>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</si>
  <si>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</si>
  <si>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</si>
  <si>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</si>
  <si>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</si>
  <si>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</si>
  <si>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</si>
  <si>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</si>
  <si>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</si>
  <si>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</si>
  <si>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</si>
  <si>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</si>
  <si>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</si>
  <si>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</si>
  <si>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</si>
  <si>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</si>
  <si>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</si>
  <si>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</si>
  <si>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</si>
  <si>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</si>
  <si>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</si>
  <si>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</si>
  <si>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</si>
  <si>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</si>
  <si>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</si>
  <si>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</si>
  <si>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</si>
  <si>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</si>
  <si>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</si>
  <si>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</si>
  <si>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</si>
  <si>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</si>
  <si>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</si>
  <si>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</si>
  <si>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</si>
  <si>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</si>
  <si>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</si>
  <si>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</si>
  <si>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</si>
  <si>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</si>
  <si>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</si>
  <si>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</si>
  <si>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</si>
  <si>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</si>
  <si>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</si>
  <si>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</si>
  <si>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</si>
  <si>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</si>
  <si>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</si>
  <si>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</si>
  <si>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</si>
  <si>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</si>
  <si>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</si>
  <si>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</si>
  <si>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</si>
  <si>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</si>
  <si>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</si>
  <si>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</si>
  <si>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</si>
  <si>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</si>
  <si>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</si>
  <si>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</si>
  <si>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</si>
  <si>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</si>
  <si>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</si>
  <si>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</si>
  <si>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</si>
  <si>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</si>
  <si>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</si>
  <si>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</si>
  <si>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</si>
  <si>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</si>
  <si>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</si>
  <si>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</si>
  <si>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</si>
  <si>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</si>
  <si>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</si>
  <si>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</si>
  <si>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</si>
  <si>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</si>
  <si>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</si>
  <si>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</si>
  <si>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</si>
  <si>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</si>
  <si>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</si>
  <si>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</si>
  <si>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</si>
  <si>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</si>
  <si>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</si>
  <si>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</si>
  <si>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</si>
  <si>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</si>
  <si>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</si>
  <si>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</si>
  <si>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</si>
  <si>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</si>
  <si>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</si>
  <si>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</si>
  <si>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</si>
  <si>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</si>
  <si>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</si>
  <si>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</si>
  <si>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</si>
  <si>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</si>
  <si>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</si>
  <si>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</si>
  <si>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</si>
  <si>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</si>
  <si>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</si>
  <si>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</si>
  <si>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</si>
  <si>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</si>
  <si>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</si>
  <si>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</si>
  <si>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</si>
  <si>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</si>
  <si>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</si>
  <si>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</si>
  <si>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</si>
  <si>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</si>
  <si>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</si>
  <si>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</si>
  <si>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</si>
  <si>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</si>
  <si>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</si>
  <si>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</si>
  <si>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</si>
  <si>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</si>
  <si>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</si>
  <si>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</si>
  <si>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</si>
  <si>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</si>
  <si>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</si>
  <si>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</si>
  <si>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</si>
  <si>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</si>
  <si>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</si>
  <si>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</si>
  <si>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</si>
  <si>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</si>
  <si>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</si>
  <si>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</si>
  <si>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</si>
  <si>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</si>
  <si>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</si>
  <si>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</si>
  <si>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</si>
  <si>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</si>
  <si>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</si>
  <si>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</si>
  <si>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</si>
  <si>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</si>
  <si>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</si>
  <si>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</si>
  <si>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</si>
  <si>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</si>
  <si>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</si>
  <si>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</si>
  <si>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</si>
  <si>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</si>
  <si>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</si>
  <si>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</si>
  <si>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</si>
  <si>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</si>
  <si>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</si>
  <si>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</si>
  <si>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</si>
  <si>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</si>
  <si>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</si>
  <si>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</si>
  <si>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</si>
  <si>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</si>
  <si>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</si>
  <si>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</si>
  <si>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</si>
  <si>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</si>
  <si>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</si>
  <si>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</si>
  <si>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</si>
  <si>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</si>
  <si>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</si>
  <si>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</si>
  <si>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</si>
  <si>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</si>
  <si>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</si>
  <si>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</si>
  <si>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</si>
  <si>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</si>
  <si>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</si>
  <si>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</si>
  <si>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</si>
  <si>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</si>
  <si>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</si>
  <si>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</si>
  <si>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</si>
  <si>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</si>
  <si>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</si>
  <si>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</si>
  <si>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</si>
  <si>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</si>
  <si>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</si>
  <si>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</si>
  <si>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</si>
  <si>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</si>
  <si>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</si>
  <si>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</si>
  <si>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</si>
  <si>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</si>
  <si>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</si>
  <si>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</si>
  <si>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</si>
  <si>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</si>
  <si>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</si>
  <si>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</si>
  <si>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</si>
  <si>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</si>
  <si>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</si>
  <si>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</si>
  <si>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</si>
  <si>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</si>
  <si>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</si>
  <si>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</si>
  <si>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</si>
  <si>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</si>
  <si>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</si>
  <si>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</si>
  <si>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</si>
  <si>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</si>
  <si>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</si>
  <si>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</si>
  <si>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</si>
  <si>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</si>
  <si>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</si>
  <si>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</si>
  <si>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</si>
  <si>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</si>
  <si>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</si>
  <si>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</si>
  <si>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</si>
  <si>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</si>
  <si>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</si>
  <si>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</si>
  <si>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</si>
  <si>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</si>
  <si>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</si>
  <si>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</si>
  <si>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</si>
  <si>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</si>
  <si>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</si>
  <si>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</si>
  <si>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</si>
  <si>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</si>
  <si>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</si>
  <si>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</si>
  <si>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</si>
  <si>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</si>
  <si>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</si>
  <si>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</si>
  <si>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</si>
  <si>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</si>
  <si>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</si>
  <si>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</si>
  <si>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</si>
  <si>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</si>
  <si>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</si>
  <si>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</si>
  <si>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</si>
  <si>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</si>
  <si>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</si>
  <si>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</si>
  <si>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</si>
  <si>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</si>
  <si>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</si>
  <si>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</si>
  <si>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</si>
  <si>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</si>
  <si>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</si>
  <si>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</si>
  <si>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</si>
  <si>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</si>
  <si>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</si>
  <si>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</si>
  <si>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</si>
  <si>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</si>
  <si>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</si>
  <si>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</si>
  <si>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</si>
  <si>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</si>
  <si>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</si>
  <si>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</si>
  <si>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</si>
  <si>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</si>
  <si>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</si>
  <si>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</si>
  <si>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</si>
  <si>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</si>
  <si>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</si>
  <si>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</si>
  <si>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</si>
  <si>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</si>
  <si>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</si>
  <si>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</si>
  <si>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</si>
  <si>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</si>
  <si>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</si>
  <si>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</si>
  <si>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</si>
  <si>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</si>
  <si>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</si>
  <si>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</si>
  <si>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</si>
  <si>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</si>
  <si>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</si>
  <si>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</si>
  <si>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</si>
  <si>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</si>
  <si>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</si>
  <si>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</si>
  <si>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</si>
  <si>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</si>
  <si>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</si>
  <si>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</si>
  <si>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</si>
  <si>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</si>
  <si>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</si>
  <si>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</si>
  <si>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</si>
  <si>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</si>
  <si>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</si>
  <si>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</si>
  <si>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</si>
  <si>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</si>
  <si>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</si>
  <si>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</si>
  <si>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</si>
  <si>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</si>
  <si>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</si>
  <si>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</si>
  <si>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</si>
  <si>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</si>
  <si>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</si>
  <si>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</si>
  <si>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</si>
  <si>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</si>
  <si>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</si>
  <si>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</si>
  <si>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</si>
  <si>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</si>
  <si>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</si>
  <si>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</si>
  <si>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</si>
  <si>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</si>
  <si>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</si>
  <si>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</si>
  <si>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</si>
  <si>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</si>
  <si>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</si>
  <si>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</si>
  <si>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</si>
  <si>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</si>
  <si>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</si>
  <si>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</si>
  <si>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</si>
  <si>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</si>
  <si>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</si>
  <si>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</si>
  <si>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</si>
  <si>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</si>
  <si>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</si>
  <si>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</si>
  <si>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</si>
  <si>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</si>
  <si>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</si>
  <si>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</si>
  <si>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</si>
  <si>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</si>
  <si>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</si>
  <si>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</si>
  <si>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</si>
  <si>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</si>
  <si>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</si>
  <si>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</si>
  <si>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</si>
  <si>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</si>
  <si>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</si>
  <si>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</si>
  <si>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</si>
  <si>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</si>
  <si>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</si>
  <si>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</si>
  <si>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</si>
  <si>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</si>
  <si>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</si>
  <si>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</si>
  <si>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</si>
  <si>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</si>
  <si>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</si>
  <si>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</si>
  <si>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</si>
  <si>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</si>
  <si>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</si>
  <si>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</si>
  <si>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</si>
  <si>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</si>
  <si>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</si>
  <si>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</si>
  <si>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</si>
  <si>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</si>
  <si>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</si>
  <si>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</si>
  <si>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</si>
  <si>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</si>
  <si>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</si>
  <si>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</si>
  <si>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</si>
  <si>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</si>
  <si>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</si>
  <si>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</si>
  <si>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</si>
  <si>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</si>
  <si>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</si>
  <si>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</si>
  <si>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</si>
  <si>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</si>
  <si>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</si>
  <si>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</si>
  <si>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</si>
  <si>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</si>
  <si>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</si>
  <si>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</si>
  <si>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</si>
  <si>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</si>
  <si>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</si>
  <si>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</si>
  <si>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</si>
  <si>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</si>
  <si>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</si>
  <si>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</si>
  <si>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</si>
  <si>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</si>
  <si>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</si>
  <si>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</si>
  <si>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</si>
  <si>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</si>
  <si>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</si>
  <si>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</si>
  <si>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</si>
  <si>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</si>
  <si>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</si>
  <si>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</si>
  <si>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</si>
  <si>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</si>
  <si>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</si>
  <si>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</si>
  <si>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</si>
  <si>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</si>
  <si>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</si>
  <si>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</si>
  <si>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</si>
  <si>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</si>
  <si>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</si>
  <si>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</si>
  <si>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</si>
  <si>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</si>
  <si>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</si>
  <si>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</si>
  <si>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</si>
  <si>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</si>
  <si>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</si>
  <si>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</si>
  <si>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</si>
  <si>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</si>
  <si>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</si>
  <si>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</si>
  <si>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</si>
  <si>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</si>
  <si>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</si>
  <si>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</si>
  <si>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</si>
  <si>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</si>
  <si>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</si>
  <si>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</si>
  <si>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</si>
  <si>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</si>
  <si>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</si>
  <si>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</si>
  <si>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</si>
  <si>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</si>
  <si>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</si>
  <si>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</si>
  <si>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</si>
  <si>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</si>
  <si>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</si>
  <si>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</si>
  <si>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</si>
  <si>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</si>
  <si>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</si>
  <si>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</si>
  <si>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</si>
  <si>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</si>
  <si>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</si>
  <si>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</si>
  <si>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</si>
  <si>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</si>
  <si>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</si>
  <si>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</si>
  <si>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</si>
  <si>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</si>
  <si>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</si>
  <si>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</si>
  <si>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</si>
  <si>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</si>
  <si>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</si>
  <si>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</si>
  <si>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</si>
  <si>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</si>
  <si>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</si>
  <si>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</si>
  <si>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</si>
  <si>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</si>
  <si>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</si>
  <si>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</si>
  <si>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</si>
  <si>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</si>
  <si>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</si>
  <si>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</si>
  <si>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</si>
  <si>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</si>
  <si>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</si>
  <si>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</si>
  <si>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</si>
  <si>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</si>
  <si>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</si>
  <si>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</si>
  <si>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</si>
  <si>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</si>
  <si>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</si>
  <si>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</si>
  <si>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</si>
  <si>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</si>
  <si>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</si>
  <si>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</si>
  <si>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</si>
  <si>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</si>
  <si>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</si>
  <si>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</si>
  <si>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</si>
  <si>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</si>
  <si>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</si>
  <si>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</si>
  <si>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</si>
  <si>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</si>
  <si>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</si>
  <si>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</si>
  <si>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</si>
  <si>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</si>
  <si>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</si>
  <si>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</si>
  <si>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</si>
  <si>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</si>
  <si>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</si>
  <si>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</si>
  <si>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</si>
  <si>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</si>
  <si>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</si>
  <si>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</si>
  <si>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</si>
  <si>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</si>
  <si>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</si>
  <si>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</si>
  <si>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</si>
  <si>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</si>
  <si>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</si>
  <si>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</si>
  <si>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</si>
  <si>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</si>
  <si>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</si>
  <si>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</si>
  <si>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</si>
  <si>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</si>
  <si>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</si>
  <si>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</si>
  <si>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</si>
  <si>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</si>
  <si>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</si>
  <si>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</si>
  <si>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</si>
  <si>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</si>
  <si>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</si>
  <si>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</si>
  <si>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</si>
  <si>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</si>
  <si>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</si>
  <si>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</si>
  <si>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</si>
  <si>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</si>
  <si>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</si>
  <si>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</si>
  <si>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</si>
  <si>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</si>
  <si>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</si>
  <si>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</si>
  <si>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</si>
  <si>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</si>
  <si>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</si>
  <si>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</si>
  <si>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</si>
  <si>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</si>
  <si>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</si>
  <si>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</si>
  <si>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</si>
  <si>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</si>
  <si>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</si>
  <si>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</si>
  <si>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</si>
  <si>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</si>
  <si>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</si>
  <si>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</si>
  <si>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</si>
  <si>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</si>
  <si>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</si>
  <si>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</si>
  <si>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</si>
  <si>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</si>
  <si>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</si>
  <si>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</si>
  <si>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</si>
  <si>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</si>
  <si>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</si>
  <si>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</si>
  <si>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</si>
  <si>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</si>
  <si>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</si>
  <si>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</si>
  <si>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</si>
  <si>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</si>
  <si>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</si>
  <si>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</si>
  <si>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</si>
  <si>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</si>
  <si>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</si>
  <si>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</si>
  <si>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</si>
  <si>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</si>
  <si>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</si>
  <si>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</si>
  <si>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</si>
  <si>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</si>
  <si>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</si>
  <si>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</si>
  <si>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</si>
  <si>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</si>
  <si>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</si>
  <si>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</si>
  <si>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</si>
  <si>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</si>
  <si>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</si>
  <si>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</si>
  <si>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</si>
  <si>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</si>
  <si>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</si>
  <si>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</si>
  <si>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</si>
  <si>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</si>
  <si>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</si>
  <si>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</si>
  <si>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</si>
  <si>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</si>
  <si>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</si>
  <si>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</si>
  <si>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</si>
  <si>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</si>
  <si>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</si>
  <si>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</si>
  <si>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</si>
  <si>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</si>
  <si>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</si>
  <si>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</si>
  <si>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</si>
  <si>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</si>
  <si>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</si>
  <si>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</si>
  <si>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</si>
  <si>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</si>
  <si>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</si>
  <si>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</si>
  <si>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</si>
  <si>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</si>
  <si>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</si>
  <si>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</si>
  <si>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</si>
  <si>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</si>
  <si>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</si>
  <si>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</si>
  <si>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</si>
  <si>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</si>
  <si>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</si>
  <si>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</si>
  <si>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</si>
  <si>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</si>
  <si>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</si>
  <si>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</si>
  <si>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</si>
  <si>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</si>
  <si>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</si>
  <si>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</si>
  <si>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</si>
  <si>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</si>
  <si>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</si>
  <si>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</si>
  <si>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</si>
  <si>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</si>
  <si>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</si>
  <si>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</si>
  <si>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</si>
  <si>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</si>
  <si>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</si>
  <si>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</si>
  <si>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</si>
  <si>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</si>
  <si>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</si>
  <si>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</si>
  <si>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</si>
  <si>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</si>
  <si>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</si>
  <si>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</si>
  <si>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</si>
  <si>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</si>
  <si>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</si>
  <si>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</si>
  <si>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</si>
  <si>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</si>
  <si>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</si>
  <si>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</si>
  <si>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</si>
  <si>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</si>
  <si>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</si>
  <si>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</si>
  <si>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</si>
  <si>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</si>
  <si>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</si>
  <si>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</si>
  <si>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</si>
  <si>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</si>
  <si>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</si>
  <si>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</si>
  <si>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</si>
  <si>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</si>
  <si>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</si>
  <si>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</si>
  <si>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</si>
  <si>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</si>
  <si>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</si>
  <si>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</si>
  <si>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</si>
  <si>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</si>
  <si>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</si>
  <si>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</si>
  <si>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</si>
  <si>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</si>
  <si>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</si>
  <si>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</si>
  <si>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</si>
  <si>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</si>
  <si>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</si>
  <si>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</si>
  <si>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</si>
  <si>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</si>
  <si>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</si>
  <si>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</si>
  <si>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</si>
  <si>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</si>
  <si>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</si>
  <si>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</si>
  <si>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</si>
  <si>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</si>
  <si>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</si>
  <si>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</si>
  <si>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</si>
  <si>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</si>
  <si>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</si>
  <si>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</si>
  <si>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</si>
  <si>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</si>
  <si>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</si>
  <si>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</si>
  <si>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</si>
  <si>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</si>
  <si>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</si>
  <si>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</si>
  <si>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</si>
  <si>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</si>
  <si>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</si>
  <si>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</si>
  <si>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</si>
  <si>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</si>
  <si>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</si>
  <si>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</si>
  <si>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</si>
  <si>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</si>
  <si>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</si>
  <si>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</si>
  <si>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</si>
  <si>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</si>
  <si>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</si>
  <si>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</si>
  <si>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</si>
  <si>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</si>
  <si>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</si>
  <si>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</si>
  <si>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</si>
  <si>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</si>
  <si>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</si>
  <si>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</si>
  <si>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</si>
  <si>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</si>
  <si>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</si>
  <si>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</si>
  <si>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</si>
  <si>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</si>
  <si>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</si>
  <si>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</si>
  <si>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</si>
  <si>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</si>
  <si>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</si>
  <si>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</si>
  <si>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</si>
  <si>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</si>
  <si>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</si>
  <si>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</si>
  <si>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</si>
  <si>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</si>
  <si>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</si>
  <si>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</si>
  <si>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</si>
  <si>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</si>
  <si>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</si>
  <si>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</si>
  <si>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</si>
  <si>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</si>
  <si>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</si>
  <si>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</si>
  <si>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</si>
  <si>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</si>
  <si>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</si>
  <si>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</si>
  <si>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</si>
  <si>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</si>
  <si>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</si>
  <si>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</si>
  <si>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</si>
  <si>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</si>
  <si>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</si>
  <si>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</si>
  <si>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</si>
  <si>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</si>
  <si>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</si>
  <si>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</si>
  <si>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</si>
  <si>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</si>
  <si>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</si>
  <si>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</si>
  <si>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</si>
  <si>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</si>
  <si>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</si>
  <si>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</si>
  <si>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</si>
  <si>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</si>
  <si>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</si>
  <si>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</si>
  <si>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</si>
  <si>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</si>
  <si>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</si>
  <si>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</si>
  <si>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</si>
  <si>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</si>
  <si>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</si>
  <si>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</si>
  <si>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</si>
  <si>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</si>
  <si>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</si>
  <si>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</si>
  <si>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</si>
  <si>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</si>
  <si>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</si>
  <si>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</si>
  <si>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</si>
  <si>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</si>
  <si>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</si>
  <si>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</si>
  <si>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</si>
  <si>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</si>
  <si>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</si>
  <si>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</si>
  <si>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</si>
  <si>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</si>
  <si>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</si>
  <si>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</si>
  <si>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</si>
  <si>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</si>
  <si>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</si>
  <si>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</si>
  <si>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</si>
  <si>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</si>
  <si>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</si>
  <si>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</si>
  <si>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</si>
  <si>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</si>
  <si>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</si>
  <si>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</si>
  <si>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</si>
  <si>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</si>
  <si>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</si>
  <si>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</si>
  <si>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</si>
  <si>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</si>
  <si>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</si>
  <si>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</si>
  <si>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</si>
  <si>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</si>
  <si>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</si>
  <si>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</si>
  <si>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</si>
  <si>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</si>
  <si>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</si>
  <si>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</si>
  <si>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</si>
  <si>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</si>
  <si>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</si>
  <si>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</si>
  <si>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</si>
  <si>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</si>
  <si>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</si>
  <si>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</si>
  <si>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</si>
  <si>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</si>
  <si>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</si>
  <si>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</si>
  <si>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</si>
  <si>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</si>
  <si>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</si>
  <si>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</si>
  <si>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</si>
  <si>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</si>
  <si>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</si>
  <si>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</si>
  <si>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</si>
  <si>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</si>
  <si>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</si>
  <si>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</si>
  <si>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</si>
  <si>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</si>
  <si>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</si>
  <si>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</si>
  <si>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</si>
  <si>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</si>
  <si>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</si>
  <si>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</si>
  <si>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</si>
  <si>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</si>
  <si>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</si>
  <si>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</si>
  <si>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</si>
  <si>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</si>
  <si>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</si>
  <si>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</si>
  <si>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</si>
  <si>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</si>
  <si>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</si>
  <si>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</si>
  <si>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</si>
  <si>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</si>
  <si>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</si>
  <si>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</si>
  <si>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</si>
  <si>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</si>
  <si>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</si>
  <si>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</si>
  <si>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</si>
  <si>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</si>
  <si>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</si>
  <si>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</si>
  <si>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</si>
  <si>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</si>
  <si>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</si>
  <si>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</si>
  <si>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</si>
  <si>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</si>
  <si>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</si>
  <si>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</si>
  <si>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</si>
  <si>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</si>
  <si>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</si>
  <si>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</si>
  <si>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</si>
  <si>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</si>
  <si>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</si>
  <si>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</si>
  <si>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</si>
  <si>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</si>
  <si>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</si>
  <si>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</si>
  <si>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</si>
  <si>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</si>
  <si>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</si>
  <si>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</si>
  <si>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</si>
  <si>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</si>
  <si>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</si>
  <si>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</si>
  <si>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</si>
  <si>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</si>
  <si>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</si>
  <si>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</si>
  <si>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</si>
  <si>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</si>
  <si>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</si>
  <si>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</si>
  <si>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</si>
  <si>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</si>
  <si>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</si>
  <si>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</si>
  <si>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</si>
  <si>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</si>
  <si>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</si>
  <si>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</si>
  <si>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</si>
  <si>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</si>
  <si>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</si>
  <si>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</si>
  <si>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</si>
  <si>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</si>
  <si>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</si>
  <si>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</si>
  <si>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</si>
  <si>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</si>
  <si>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</si>
  <si>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</si>
  <si>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</si>
  <si>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</si>
  <si>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</si>
  <si>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</si>
  <si>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</si>
  <si>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</si>
  <si>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</si>
  <si>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</si>
  <si>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</si>
  <si>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</si>
  <si>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</si>
  <si>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</si>
  <si>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</si>
  <si>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</si>
  <si>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</si>
  <si>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</si>
  <si>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</si>
  <si>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</si>
  <si>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</si>
  <si>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</si>
  <si>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</si>
  <si>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</si>
  <si>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</si>
  <si>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</si>
  <si>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</si>
  <si>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</si>
  <si>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</si>
  <si>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</si>
  <si>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</si>
  <si>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</si>
  <si>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</si>
  <si>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</si>
  <si>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</si>
  <si>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</si>
  <si>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</si>
  <si>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</si>
  <si>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</si>
  <si>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</si>
  <si>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</si>
  <si>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</si>
  <si>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</si>
  <si>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</si>
  <si>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</si>
  <si>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</si>
  <si>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</si>
  <si>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</si>
  <si>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</si>
  <si>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</si>
  <si>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</si>
  <si>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</si>
  <si>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</si>
  <si>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</si>
  <si>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</si>
  <si>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</si>
  <si>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</si>
  <si>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</si>
  <si>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</si>
  <si>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</si>
  <si>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</si>
  <si>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</si>
  <si>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</si>
  <si>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</si>
  <si>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</si>
  <si>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</si>
  <si>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</si>
  <si>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</si>
  <si>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</si>
  <si>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</si>
  <si>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</si>
  <si>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</si>
  <si>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</si>
  <si>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</si>
  <si>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</si>
  <si>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</si>
  <si>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</si>
  <si>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</si>
  <si>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</si>
  <si>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</si>
  <si>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</si>
  <si>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</si>
  <si>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</si>
  <si>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</si>
  <si>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</si>
  <si>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</si>
  <si>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</si>
  <si>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</si>
  <si>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</si>
  <si>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</si>
  <si>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</si>
  <si>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</si>
  <si>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</si>
  <si>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</si>
  <si>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</si>
  <si>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</si>
  <si>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</si>
  <si>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</si>
  <si>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</si>
  <si>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</si>
  <si>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</si>
  <si>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</si>
  <si>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</si>
  <si>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</si>
  <si>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</si>
  <si>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</si>
  <si>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</si>
  <si>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</si>
  <si>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</si>
  <si>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</si>
  <si>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</si>
  <si>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</si>
  <si>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</si>
  <si>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</si>
  <si>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</si>
  <si>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</si>
  <si>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</si>
  <si>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</si>
  <si>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</si>
  <si>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</si>
  <si>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</si>
  <si>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</si>
  <si>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</si>
  <si>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</si>
  <si>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</si>
  <si>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</si>
  <si>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</si>
  <si>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</si>
  <si>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</si>
  <si>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</si>
  <si>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</si>
  <si>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</si>
  <si>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</si>
  <si>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</si>
  <si>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</si>
  <si>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</si>
  <si>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</si>
  <si>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</si>
  <si>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</si>
  <si>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</si>
  <si>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</si>
  <si>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</si>
  <si>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</si>
  <si>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</si>
  <si>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</si>
  <si>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</si>
  <si>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</si>
  <si>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</si>
  <si>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</si>
  <si>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</si>
  <si>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</si>
  <si>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</si>
  <si>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</si>
  <si>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</si>
  <si>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</si>
  <si>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</si>
  <si>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</si>
  <si>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</si>
  <si>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</si>
  <si>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</si>
  <si>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</si>
  <si>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</si>
  <si>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</si>
  <si>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</si>
  <si>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</si>
  <si>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</si>
  <si>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</si>
  <si>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</si>
  <si>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</si>
  <si>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</si>
  <si>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</si>
  <si>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</si>
  <si>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</si>
  <si>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</si>
  <si>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</si>
  <si>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</si>
  <si>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</si>
  <si>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</si>
  <si>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</si>
  <si>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</si>
  <si>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</si>
  <si>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</si>
  <si>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</si>
  <si>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</si>
  <si>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</si>
  <si>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</si>
  <si>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</si>
  <si>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</si>
  <si>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</si>
  <si>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</si>
  <si>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</si>
  <si>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</si>
  <si>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</si>
  <si>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</si>
  <si>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</si>
  <si>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</si>
  <si>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</si>
  <si>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</si>
  <si>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</si>
  <si>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</si>
  <si>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</si>
  <si>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</si>
  <si>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</si>
  <si>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</si>
  <si>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</si>
  <si>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</si>
  <si>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</si>
  <si>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</si>
  <si>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</si>
  <si>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</si>
  <si>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</si>
  <si>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</si>
  <si>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</si>
  <si>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</si>
  <si>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</si>
  <si>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</si>
  <si>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</si>
  <si>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</si>
  <si>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</si>
  <si>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</si>
  <si>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</si>
  <si>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</si>
  <si>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</si>
  <si>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</si>
  <si>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</si>
  <si>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</si>
  <si>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</si>
  <si>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</si>
  <si>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</si>
  <si>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</si>
  <si>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</si>
  <si>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</si>
  <si>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</si>
  <si>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</si>
  <si>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</si>
  <si>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</si>
  <si>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</si>
  <si>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</si>
  <si>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</si>
  <si>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</si>
  <si>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</si>
  <si>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</si>
  <si>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</si>
  <si>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</si>
  <si>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</si>
  <si>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</si>
  <si>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</si>
  <si>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</si>
  <si>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</si>
  <si>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</si>
  <si>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</si>
  <si>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</si>
  <si>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</si>
  <si>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</si>
  <si>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</si>
  <si>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</si>
  <si>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</si>
  <si>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</si>
  <si>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</si>
  <si>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</si>
  <si>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</si>
  <si>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</si>
  <si>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</si>
  <si>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</si>
  <si>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</si>
  <si>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</si>
  <si>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</si>
  <si>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</si>
  <si>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</si>
  <si>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</si>
  <si>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</si>
  <si>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</si>
  <si>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</si>
  <si>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</si>
  <si>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</si>
  <si>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</si>
  <si>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</si>
  <si>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</si>
  <si>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</si>
  <si>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</si>
  <si>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</si>
  <si>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</si>
  <si>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</si>
  <si>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</si>
  <si>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</si>
  <si>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</si>
  <si>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</si>
  <si>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</si>
  <si>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</si>
  <si>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</si>
  <si>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</si>
  <si>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</si>
  <si>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</si>
  <si>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</si>
  <si>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</si>
  <si>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</si>
  <si>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</si>
  <si>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</si>
  <si>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</si>
  <si>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</si>
  <si>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</si>
  <si>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</si>
  <si>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</si>
  <si>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</si>
  <si>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</si>
  <si>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</si>
  <si>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</si>
  <si>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</si>
  <si>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</si>
  <si>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</si>
  <si>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</si>
  <si>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</si>
  <si>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</si>
  <si>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</si>
  <si>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</si>
  <si>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</si>
  <si>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</si>
  <si>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</si>
  <si>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</si>
  <si>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</si>
  <si>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</si>
  <si>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</si>
  <si>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</si>
  <si>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</si>
  <si>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</si>
  <si>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</si>
  <si>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</si>
  <si>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</si>
  <si>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</si>
  <si>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</si>
  <si>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</si>
  <si>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</si>
  <si>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</si>
  <si>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</si>
  <si>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</si>
  <si>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</si>
  <si>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</si>
  <si>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</si>
  <si>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</si>
  <si>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</si>
  <si>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</si>
  <si>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</si>
  <si>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</si>
  <si>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</si>
  <si>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</si>
  <si>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</si>
  <si>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</si>
  <si>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</si>
  <si>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</si>
  <si>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</si>
  <si>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</si>
  <si>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</si>
  <si>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</si>
  <si>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</si>
  <si>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</si>
  <si>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</si>
  <si>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</si>
  <si>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</si>
  <si>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</si>
  <si>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</si>
  <si>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</si>
  <si>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</si>
  <si>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</si>
  <si>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</si>
  <si>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</si>
  <si>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</si>
  <si>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</si>
  <si>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</si>
  <si>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</si>
  <si>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</si>
  <si>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</si>
  <si>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</si>
  <si>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</si>
  <si>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</si>
  <si>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</si>
  <si>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</si>
  <si>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</si>
  <si>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</si>
  <si>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</si>
  <si>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</si>
  <si>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</si>
  <si>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</si>
  <si>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</si>
  <si>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</si>
  <si>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</si>
  <si>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</si>
  <si>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</si>
  <si>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</si>
  <si>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</si>
  <si>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</si>
  <si>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</si>
  <si>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</si>
  <si>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</si>
  <si>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</si>
  <si>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</si>
  <si>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</si>
  <si>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</si>
  <si>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</si>
  <si>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</si>
  <si>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</si>
  <si>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</si>
  <si>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</si>
  <si>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</si>
  <si>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</si>
  <si>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</si>
  <si>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</si>
  <si>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</si>
  <si>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</si>
  <si>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</si>
  <si>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</si>
  <si>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</si>
  <si>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</si>
  <si>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</si>
  <si>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</si>
  <si>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</si>
  <si>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</si>
  <si>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</si>
  <si>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</si>
  <si>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</si>
  <si>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</si>
  <si>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</si>
  <si>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</si>
  <si>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</si>
  <si>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</si>
  <si>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</si>
  <si>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</si>
  <si>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</si>
  <si>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</si>
  <si>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</si>
  <si>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</si>
  <si>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</si>
  <si>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</si>
  <si>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</si>
  <si>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</si>
  <si>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</si>
  <si>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</si>
  <si>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</si>
  <si>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</si>
  <si>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</si>
  <si>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</si>
  <si>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</si>
  <si>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</si>
  <si>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</si>
  <si>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</si>
  <si>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</si>
  <si>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</si>
  <si>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</si>
  <si>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</si>
  <si>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</si>
  <si>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</si>
  <si>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</si>
  <si>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</si>
  <si>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</si>
  <si>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</si>
  <si>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</si>
  <si>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</si>
  <si>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</si>
  <si>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</si>
  <si>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</si>
  <si>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</si>
  <si>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</si>
  <si>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</si>
  <si>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</si>
  <si>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</si>
  <si>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</si>
  <si>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</si>
  <si>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</si>
  <si>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</si>
  <si>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</si>
  <si>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</si>
  <si>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</si>
  <si>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</si>
  <si>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</si>
  <si>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</si>
  <si>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</si>
  <si>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</si>
  <si>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</si>
  <si>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</si>
  <si>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</si>
  <si>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</si>
  <si>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</si>
  <si>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</si>
  <si>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</si>
  <si>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</si>
  <si>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</si>
  <si>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</si>
  <si>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</si>
  <si>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</si>
  <si>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</si>
  <si>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</si>
  <si>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</si>
  <si>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</si>
  <si>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</si>
  <si>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</si>
  <si>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</si>
  <si>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</si>
  <si>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</si>
  <si>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</si>
  <si>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</si>
  <si>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</si>
  <si>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</si>
  <si>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</si>
  <si>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</si>
  <si>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</si>
  <si>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</si>
  <si>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</si>
  <si>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</si>
  <si>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</si>
  <si>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</si>
  <si>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</si>
  <si>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</si>
  <si>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</si>
  <si>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</si>
  <si>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</si>
  <si>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</si>
  <si>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</si>
  <si>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</si>
  <si>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</si>
  <si>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</si>
  <si>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</si>
  <si>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</si>
  <si>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</si>
  <si>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</si>
  <si>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</si>
  <si>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</si>
  <si>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</si>
  <si>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</si>
  <si>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</si>
  <si>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</si>
  <si>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</si>
  <si>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</si>
  <si>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</si>
  <si>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</si>
  <si>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</si>
  <si>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</si>
  <si>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</si>
  <si>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</si>
  <si>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</si>
  <si>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</si>
  <si>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</si>
  <si>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</si>
  <si>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</si>
  <si>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</si>
  <si>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</si>
  <si>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</si>
  <si>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</si>
  <si>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</si>
  <si>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</si>
  <si>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</si>
  <si>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</si>
  <si>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</si>
  <si>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</si>
  <si>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</si>
  <si>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</si>
  <si>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</si>
  <si>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</si>
  <si>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</si>
  <si>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</si>
  <si>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</si>
  <si>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</si>
  <si>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</si>
  <si>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</si>
  <si>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</si>
  <si>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</si>
  <si>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</si>
  <si>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</si>
  <si>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</si>
  <si>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</si>
  <si>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</si>
  <si>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</si>
  <si>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</si>
  <si>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</si>
  <si>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</si>
  <si>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</si>
  <si>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</si>
  <si>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</si>
  <si>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</si>
  <si>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</si>
  <si>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</si>
  <si>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</si>
  <si>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</si>
  <si>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</si>
  <si>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</si>
  <si>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</si>
  <si>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</si>
  <si>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</si>
  <si>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</si>
  <si>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</si>
  <si>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</si>
  <si>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</si>
  <si>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</si>
  <si>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</si>
  <si>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</si>
  <si>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</si>
  <si>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</si>
  <si>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</si>
  <si>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</si>
  <si>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</si>
  <si>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</si>
  <si>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</si>
  <si>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</si>
  <si>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</si>
  <si>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</si>
  <si>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</si>
  <si>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</si>
  <si>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</si>
  <si>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</si>
  <si>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</si>
  <si>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</si>
  <si>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</si>
  <si>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</si>
  <si>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</si>
  <si>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</si>
  <si>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</si>
  <si>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</si>
  <si>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</si>
  <si>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</si>
  <si>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</si>
  <si>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</si>
  <si>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</si>
  <si>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</si>
  <si>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</si>
  <si>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</si>
  <si>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</si>
  <si>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</si>
  <si>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</si>
  <si>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</si>
  <si>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</si>
  <si>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</si>
  <si>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</si>
  <si>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</si>
  <si>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</si>
  <si>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</si>
  <si>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</si>
  <si>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</si>
  <si>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</si>
  <si>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</si>
  <si>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</si>
  <si>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</si>
  <si>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</si>
  <si>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</si>
  <si>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</si>
  <si>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</si>
  <si>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</si>
  <si>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</si>
  <si>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</si>
  <si>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</si>
  <si>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</si>
  <si>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</si>
  <si>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</si>
  <si>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</si>
  <si>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</si>
  <si>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</si>
  <si>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</si>
  <si>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</si>
  <si>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</si>
  <si>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</si>
  <si>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</si>
  <si>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</si>
  <si>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</si>
  <si>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</si>
  <si>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</si>
  <si>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</si>
  <si>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</si>
  <si>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</si>
  <si>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</si>
  <si>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</si>
  <si>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</si>
  <si>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</si>
  <si>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</si>
  <si>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</si>
  <si>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</si>
  <si>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</si>
  <si>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</si>
  <si>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</si>
  <si>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</si>
  <si>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</si>
  <si>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</si>
  <si>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</si>
  <si>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</si>
  <si>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</si>
  <si>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</si>
  <si>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</si>
  <si>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</si>
  <si>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</si>
  <si>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</si>
  <si>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</si>
  <si>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</si>
  <si>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</si>
  <si>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</si>
  <si>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</si>
  <si>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</si>
  <si>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</si>
  <si>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</si>
  <si>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</si>
  <si>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</si>
  <si>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</si>
  <si>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</si>
  <si>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</si>
  <si>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</si>
  <si>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</si>
  <si>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</si>
  <si>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</si>
  <si>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</si>
  <si>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</si>
  <si>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</si>
  <si>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</si>
  <si>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</si>
  <si>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</si>
  <si>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</si>
  <si>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</si>
  <si>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</si>
  <si>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</si>
  <si>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</si>
  <si>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</si>
  <si>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</si>
  <si>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</si>
  <si>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</si>
  <si>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</si>
  <si>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</si>
  <si>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</si>
  <si>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</si>
  <si>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</si>
  <si>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</si>
  <si>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</si>
  <si>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</si>
  <si>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</si>
  <si>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</si>
  <si>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</si>
  <si>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</si>
  <si>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</si>
  <si>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</si>
  <si>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</si>
  <si>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</si>
  <si>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</si>
  <si>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</si>
  <si>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</si>
  <si>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</si>
  <si>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</si>
  <si>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</si>
  <si>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</si>
  <si>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</si>
  <si>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</si>
  <si>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</si>
  <si>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</si>
  <si>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</si>
  <si>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</si>
  <si>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</si>
  <si>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</si>
  <si>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</si>
  <si>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</si>
  <si>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</si>
  <si>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</si>
  <si>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</si>
  <si>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</si>
  <si>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</si>
  <si>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</si>
  <si>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</si>
  <si>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</si>
  <si>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</si>
  <si>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</si>
  <si>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</si>
  <si>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</si>
  <si>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</si>
  <si>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</si>
  <si>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</si>
  <si>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</si>
  <si>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</si>
  <si>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</si>
  <si>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</si>
  <si>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</si>
  <si>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</si>
  <si>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</si>
  <si>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</si>
  <si>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</si>
  <si>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</si>
  <si>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</si>
  <si>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</si>
  <si>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</si>
  <si>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</si>
  <si>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</si>
  <si>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</si>
  <si>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</si>
  <si>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</si>
  <si>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</si>
  <si>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</si>
  <si>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</si>
  <si>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</si>
  <si>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</si>
  <si>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</si>
  <si>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</si>
  <si>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</si>
  <si>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</si>
  <si>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</si>
  <si>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</si>
  <si>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</si>
  <si>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</si>
  <si>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</si>
  <si>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</si>
  <si>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</si>
  <si>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</si>
  <si>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</si>
  <si>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</si>
  <si>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</si>
  <si>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</si>
  <si>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</si>
  <si>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</si>
  <si>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</si>
  <si>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</si>
  <si>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</si>
  <si>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</si>
  <si>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</si>
  <si>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</si>
  <si>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</si>
  <si>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</si>
  <si>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</si>
  <si>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</si>
  <si>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</si>
  <si>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</si>
  <si>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</si>
  <si>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</si>
  <si>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</si>
  <si>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</si>
  <si>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</si>
  <si>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</si>
  <si>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</si>
  <si>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</si>
  <si>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</si>
  <si>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</si>
  <si>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</si>
  <si>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</si>
  <si>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</si>
  <si>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</si>
  <si>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</si>
  <si>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</si>
  <si>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</si>
  <si>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</si>
  <si>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</si>
  <si>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</si>
  <si>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</si>
  <si>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</si>
  <si>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</si>
  <si>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</si>
  <si>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</si>
  <si>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</si>
  <si>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</si>
  <si>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</si>
  <si>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</si>
  <si>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</si>
  <si>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</si>
  <si>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</si>
  <si>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</si>
  <si>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</si>
  <si>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</si>
  <si>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</si>
  <si>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</si>
  <si>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</si>
  <si>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</si>
  <si>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</si>
  <si>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</si>
  <si>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</si>
  <si>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</si>
  <si>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</si>
  <si>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</si>
  <si>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</si>
  <si>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</si>
  <si>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</si>
  <si>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</si>
  <si>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</si>
  <si>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</si>
  <si>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</si>
  <si>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</si>
  <si>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</si>
  <si>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</si>
  <si>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</si>
  <si>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</si>
  <si>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</si>
  <si>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</si>
  <si>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</si>
  <si>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</si>
  <si>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</si>
  <si>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</si>
  <si>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</si>
  <si>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</si>
  <si>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</si>
  <si>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</si>
  <si>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</si>
  <si>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</si>
  <si>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</si>
  <si>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</si>
  <si>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</si>
  <si>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</si>
  <si>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</si>
  <si>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</si>
  <si>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</si>
  <si>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</si>
  <si>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</si>
  <si>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</si>
  <si>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</si>
  <si>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</si>
  <si>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</si>
  <si>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</si>
  <si>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</si>
  <si>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</si>
  <si>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</si>
  <si>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</si>
  <si>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</si>
  <si>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</si>
  <si>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</si>
  <si>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</si>
  <si>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</si>
  <si>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</si>
  <si>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</si>
  <si>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</si>
  <si>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</si>
  <si>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</si>
  <si>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</si>
  <si>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</si>
  <si>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</si>
  <si>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</si>
  <si>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</si>
  <si>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</si>
  <si>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</si>
  <si>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</si>
  <si>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</si>
  <si>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</si>
  <si>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</si>
  <si>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</si>
  <si>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</si>
  <si>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</si>
  <si>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</si>
  <si>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</si>
  <si>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</si>
  <si>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</si>
  <si>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</si>
  <si>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</si>
  <si>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</si>
  <si>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</si>
  <si>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</si>
  <si>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</si>
  <si>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</si>
  <si>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</si>
  <si>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</si>
  <si>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</si>
  <si>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</si>
  <si>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</si>
  <si>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</si>
  <si>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</si>
  <si>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</si>
  <si>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</si>
  <si>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</si>
  <si>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</si>
  <si>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</si>
  <si>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</si>
  <si>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</si>
  <si>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</si>
  <si>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</si>
  <si>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</si>
  <si>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</si>
  <si>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</si>
  <si>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</si>
  <si>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</si>
  <si>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</si>
  <si>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</si>
  <si>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</si>
  <si>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</si>
  <si>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</si>
  <si>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</si>
  <si>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</si>
  <si>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</si>
  <si>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</si>
  <si>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</si>
  <si>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</si>
  <si>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</si>
  <si>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</si>
  <si>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</si>
  <si>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</si>
  <si>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</si>
  <si>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</si>
  <si>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</si>
  <si>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</si>
  <si>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</si>
  <si>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</si>
  <si>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</si>
  <si>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</si>
  <si>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</si>
  <si>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</si>
  <si>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</si>
  <si>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</si>
  <si>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</si>
  <si>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</si>
  <si>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</si>
  <si>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</si>
  <si>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</si>
  <si>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</si>
  <si>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</si>
  <si>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</si>
  <si>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</si>
  <si>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</si>
  <si>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</si>
  <si>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</si>
  <si>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</si>
  <si>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</si>
  <si>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</si>
  <si>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</si>
  <si>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</si>
  <si>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</si>
  <si>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</si>
  <si>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</si>
  <si>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</si>
  <si>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</si>
  <si>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</si>
  <si>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</si>
  <si>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</si>
  <si>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</si>
  <si>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</si>
  <si>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</si>
  <si>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</si>
  <si>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</si>
  <si>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</si>
  <si>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</si>
  <si>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</si>
  <si>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</si>
  <si>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</si>
  <si>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</si>
  <si>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</si>
  <si>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</si>
  <si>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</si>
  <si>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</si>
  <si>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</si>
  <si>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</si>
  <si>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</si>
  <si>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</si>
  <si>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</si>
  <si>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</si>
  <si>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</si>
  <si>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</si>
  <si>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</si>
  <si>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</si>
  <si>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</si>
  <si>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</si>
  <si>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</si>
  <si>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</si>
  <si>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</si>
  <si>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</si>
  <si>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</si>
  <si>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</si>
  <si>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</si>
  <si>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</si>
  <si>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</si>
  <si>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</si>
  <si>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</si>
  <si>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</si>
  <si>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</si>
  <si>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</si>
  <si>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</si>
  <si>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</si>
  <si>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</si>
  <si>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</si>
  <si>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</si>
  <si>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</si>
  <si>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</si>
  <si>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</si>
  <si>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</si>
  <si>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</si>
  <si>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</si>
  <si>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</si>
  <si>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</si>
  <si>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</si>
  <si>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</si>
  <si>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</si>
  <si>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</si>
  <si>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</si>
  <si>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</si>
  <si>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</si>
  <si>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</si>
  <si>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</si>
  <si>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</si>
  <si>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</si>
  <si>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</si>
  <si>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</si>
  <si>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</si>
  <si>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</si>
  <si>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</si>
  <si>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</si>
  <si>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</si>
  <si>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</si>
  <si>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</si>
  <si>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</si>
  <si>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</si>
  <si>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</si>
  <si>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</si>
  <si>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</si>
  <si>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</si>
  <si>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</si>
  <si>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</si>
  <si>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</si>
  <si>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</si>
  <si>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</si>
  <si>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</si>
  <si>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</si>
  <si>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</si>
  <si>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</si>
  <si>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</si>
  <si>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</si>
  <si>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</si>
  <si>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</si>
  <si>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</si>
  <si>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</si>
  <si>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</si>
  <si>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</si>
  <si>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</si>
  <si>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</si>
  <si>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</si>
  <si>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</si>
  <si>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</si>
  <si>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</si>
  <si>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</si>
  <si>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</si>
  <si>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</si>
  <si>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</si>
  <si>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</si>
  <si>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</si>
  <si>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</si>
  <si>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</si>
  <si>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</si>
  <si>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</si>
  <si>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</si>
  <si>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</si>
  <si>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</si>
  <si>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</si>
  <si>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</si>
  <si>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</si>
  <si>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</si>
  <si>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</si>
  <si>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</si>
  <si>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</si>
  <si>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</si>
  <si>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</si>
  <si>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</si>
  <si>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</si>
  <si>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</si>
  <si>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</si>
  <si>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</si>
  <si>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</si>
  <si>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</si>
  <si>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</si>
  <si>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</si>
  <si>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</si>
  <si>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</si>
  <si>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</si>
  <si>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</si>
  <si>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</si>
  <si>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</si>
  <si>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</si>
  <si>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</si>
  <si>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</si>
  <si>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</si>
  <si>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</si>
  <si>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</si>
  <si>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</si>
  <si>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</si>
  <si>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</si>
  <si>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</si>
  <si>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</si>
  <si>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</si>
  <si>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</si>
  <si>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</si>
  <si>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</si>
  <si>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</si>
  <si>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</si>
  <si>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</si>
  <si>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</si>
  <si>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</si>
  <si>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</si>
  <si>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</si>
  <si>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</si>
  <si>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</si>
  <si>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</si>
  <si>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</si>
  <si>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</si>
  <si>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</si>
  <si>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</si>
  <si>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</si>
  <si>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</si>
  <si>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</si>
  <si>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</si>
  <si>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</si>
  <si>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</si>
  <si>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</si>
  <si>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</si>
  <si>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</si>
  <si>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</si>
  <si>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</si>
  <si>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</si>
  <si>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</si>
  <si>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</si>
  <si>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</si>
  <si>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</si>
  <si>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</si>
  <si>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</si>
  <si>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</si>
  <si>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</si>
  <si>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</si>
  <si>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</si>
  <si>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</si>
  <si>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</si>
  <si>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</si>
  <si>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</si>
  <si>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</si>
  <si>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</si>
  <si>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</si>
  <si>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</si>
  <si>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</si>
  <si>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</si>
  <si>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</si>
  <si>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</si>
  <si>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</si>
  <si>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</si>
  <si>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</si>
  <si>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</si>
  <si>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</si>
  <si>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</si>
  <si>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</si>
  <si>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</si>
  <si>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</si>
  <si>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</si>
  <si>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</si>
  <si>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</si>
  <si>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</si>
  <si>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</si>
  <si>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</si>
  <si>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</si>
  <si>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</si>
  <si>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</si>
  <si>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</si>
  <si>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</si>
  <si>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</si>
  <si>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</si>
  <si>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</si>
  <si>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</si>
  <si>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</si>
  <si>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</si>
  <si>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</si>
  <si>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</si>
  <si>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</si>
  <si>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</si>
  <si>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</si>
  <si>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</si>
  <si>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</si>
  <si>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</si>
  <si>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</si>
  <si>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</si>
  <si>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</si>
  <si>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</si>
  <si>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</si>
  <si>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</si>
  <si>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</si>
  <si>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</si>
  <si>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</si>
  <si>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</si>
  <si>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</si>
  <si>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</si>
  <si>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</si>
  <si>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</si>
  <si>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</si>
  <si>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</si>
  <si>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</si>
  <si>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</si>
  <si>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</si>
  <si>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</si>
  <si>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</si>
  <si>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</si>
  <si>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</si>
  <si>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</si>
  <si>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</si>
  <si>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</si>
  <si>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</si>
  <si>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</si>
  <si>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</si>
  <si>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</si>
  <si>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</si>
  <si>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</si>
  <si>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</si>
  <si>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</si>
  <si>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</si>
  <si>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</si>
  <si>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</si>
  <si>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</si>
  <si>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</si>
  <si>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</si>
  <si>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</si>
  <si>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</si>
  <si>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</si>
  <si>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</si>
  <si>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</si>
  <si>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</si>
  <si>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</si>
  <si>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</si>
  <si>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</si>
  <si>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</si>
  <si>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</si>
  <si>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</si>
  <si>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</si>
  <si>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</si>
  <si>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</si>
  <si>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</si>
  <si>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</si>
  <si>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</si>
  <si>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</si>
  <si>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</si>
  <si>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</si>
  <si>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</si>
  <si>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</si>
  <si>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</si>
  <si>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</si>
  <si>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</si>
  <si>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</si>
  <si>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</si>
  <si>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</si>
  <si>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</si>
  <si>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</si>
  <si>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</si>
  <si>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</si>
  <si>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</si>
  <si>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</si>
  <si>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</si>
  <si>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</si>
  <si>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</si>
  <si>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</si>
  <si>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</si>
  <si>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</si>
  <si>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</si>
  <si>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</si>
  <si>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</si>
  <si>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</si>
  <si>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</si>
  <si>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</si>
  <si>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</si>
  <si>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</si>
  <si>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</si>
  <si>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</si>
  <si>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</si>
  <si>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</si>
  <si>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</si>
  <si>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</si>
  <si>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</si>
  <si>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</si>
  <si>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</si>
  <si>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</si>
  <si>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</si>
  <si>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</si>
  <si>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</si>
  <si>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</si>
  <si>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</si>
  <si>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</si>
  <si>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</si>
  <si>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</si>
  <si>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</si>
  <si>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</si>
  <si>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</si>
  <si>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</si>
  <si>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</si>
  <si>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</si>
  <si>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</si>
  <si>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</si>
  <si>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</si>
  <si>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</si>
  <si>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</si>
  <si>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</si>
  <si>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</si>
  <si>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</si>
  <si>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</si>
  <si>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</si>
  <si>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</si>
  <si>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</si>
  <si>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</si>
  <si>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</si>
  <si>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</si>
  <si>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</si>
  <si>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</si>
  <si>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</si>
  <si>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</si>
  <si>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</si>
  <si>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</si>
  <si>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</si>
  <si>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</si>
  <si>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</si>
  <si>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</si>
  <si>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</si>
  <si>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</si>
  <si>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</si>
  <si>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</si>
  <si>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</si>
  <si>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</si>
  <si>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</si>
  <si>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</si>
  <si>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</si>
  <si>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</si>
  <si>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</si>
  <si>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</si>
  <si>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</si>
  <si>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</si>
  <si>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</si>
  <si>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</si>
  <si>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</si>
  <si>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</si>
  <si>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</si>
  <si>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</si>
  <si>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</si>
  <si>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</si>
  <si>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</si>
  <si>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</si>
  <si>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</si>
  <si>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</si>
  <si>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</si>
  <si>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</si>
  <si>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</si>
  <si>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</si>
  <si>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</si>
  <si>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</si>
  <si>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</si>
  <si>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</si>
  <si>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</si>
  <si>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</si>
  <si>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</si>
  <si>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</si>
  <si>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</si>
  <si>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</si>
  <si>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</si>
  <si>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</si>
  <si>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</si>
  <si>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</si>
  <si>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</si>
  <si>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</si>
  <si>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</si>
  <si>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</si>
  <si>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</si>
  <si>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</si>
  <si>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</si>
  <si>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</si>
  <si>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</si>
  <si>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</si>
  <si>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</si>
  <si>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</si>
  <si>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</si>
  <si>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</si>
  <si>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</si>
  <si>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</si>
  <si>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</si>
  <si>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</si>
  <si>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</si>
  <si>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</si>
  <si>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</si>
  <si>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</si>
  <si>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</si>
  <si>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</si>
  <si>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</si>
  <si>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</si>
  <si>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</si>
  <si>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</si>
  <si>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</si>
  <si>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</si>
  <si>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</si>
  <si>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</si>
  <si>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</si>
  <si>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</si>
  <si>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</si>
  <si>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</si>
  <si>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</si>
  <si>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</si>
  <si>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</si>
  <si>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</si>
  <si>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</si>
  <si>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</si>
  <si>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</si>
  <si>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</si>
  <si>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</si>
  <si>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</si>
  <si>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</si>
  <si>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</si>
  <si>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</si>
  <si>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</si>
  <si>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</si>
  <si>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</si>
  <si>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</si>
  <si>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</si>
  <si>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</si>
  <si>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</si>
  <si>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</si>
  <si>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</si>
  <si>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</si>
  <si>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</si>
  <si>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</si>
  <si>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</si>
  <si>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</si>
  <si>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</si>
  <si>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</si>
  <si>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</si>
  <si>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</si>
  <si>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</si>
  <si>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</si>
  <si>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</si>
  <si>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</si>
  <si>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</si>
  <si>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</si>
  <si>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</si>
  <si>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</si>
  <si>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</si>
  <si>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</si>
  <si>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</si>
  <si>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</si>
  <si>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</si>
  <si>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</si>
  <si>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</si>
  <si>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</si>
  <si>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</si>
  <si>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</si>
  <si>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</si>
  <si>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</si>
  <si>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</si>
  <si>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</si>
  <si>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</si>
  <si>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</si>
  <si>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</si>
  <si>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</si>
  <si>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</si>
  <si>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</si>
  <si>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</si>
  <si>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</si>
  <si>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</si>
  <si>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</si>
  <si>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</si>
  <si>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</si>
  <si>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</si>
  <si>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</si>
  <si>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</si>
  <si>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</si>
  <si>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</si>
  <si>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</si>
  <si>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</si>
  <si>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</si>
  <si>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</si>
  <si>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</si>
  <si>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</si>
  <si>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</si>
  <si>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</si>
  <si>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</si>
  <si>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</si>
  <si>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</si>
  <si>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</si>
  <si>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</si>
  <si>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</si>
  <si>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</si>
  <si>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</si>
  <si>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</si>
  <si>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</si>
  <si>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</si>
  <si>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</si>
  <si>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</si>
  <si>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</si>
  <si>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</si>
  <si>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</si>
  <si>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</si>
  <si>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</si>
  <si>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</si>
  <si>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</si>
  <si>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</si>
  <si>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</si>
  <si>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</si>
  <si>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</si>
  <si>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</si>
  <si>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</si>
  <si>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</si>
  <si>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</si>
  <si>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</si>
  <si>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</si>
  <si>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</si>
  <si>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</si>
  <si>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</si>
  <si>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</si>
  <si>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</si>
  <si>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</si>
  <si>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</si>
  <si>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</si>
  <si>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</si>
  <si>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</si>
  <si>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</si>
  <si>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</si>
  <si>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</si>
  <si>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</si>
  <si>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</si>
  <si>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</si>
  <si>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</si>
  <si>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</si>
  <si>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</si>
  <si>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</si>
  <si>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</si>
  <si>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</si>
  <si>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</si>
  <si>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</si>
  <si>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</si>
  <si>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</si>
  <si>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</si>
  <si>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</si>
  <si>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</si>
  <si>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</si>
  <si>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</si>
  <si>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</si>
  <si>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</si>
  <si>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</si>
  <si>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</si>
  <si>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</si>
  <si>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</si>
  <si>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</si>
  <si>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</si>
  <si>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</si>
  <si>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</si>
  <si>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</si>
  <si>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</si>
  <si>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</si>
  <si>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</si>
  <si>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</si>
  <si>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</si>
  <si>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</si>
  <si>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</si>
  <si>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</si>
  <si>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</si>
  <si>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</si>
  <si>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</si>
  <si>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</si>
  <si>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</si>
  <si>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</si>
  <si>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</si>
  <si>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</si>
  <si>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</si>
  <si>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</si>
  <si>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</si>
  <si>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</si>
  <si>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</si>
  <si>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</si>
  <si>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</si>
  <si>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</si>
  <si>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</si>
  <si>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</si>
  <si>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</si>
  <si>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</si>
  <si>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</si>
  <si>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</si>
  <si>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</si>
  <si>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</si>
  <si>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</si>
  <si>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</si>
  <si>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</si>
  <si>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</si>
  <si>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</si>
  <si>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</si>
  <si>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</si>
  <si>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</si>
  <si>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</si>
  <si>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</si>
  <si>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</si>
  <si>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</si>
  <si>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</si>
  <si>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</si>
  <si>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</si>
  <si>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</si>
  <si>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</si>
  <si>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</si>
  <si>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</si>
  <si>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</si>
  <si>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</si>
  <si>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</si>
  <si>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</si>
  <si>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</si>
  <si>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</si>
  <si>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</si>
  <si>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</si>
  <si>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</si>
  <si>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</si>
  <si>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</si>
  <si>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</si>
  <si>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</si>
  <si>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</si>
  <si>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</si>
  <si>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</si>
  <si>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</si>
  <si>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</si>
  <si>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</si>
  <si>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</si>
  <si>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</si>
  <si>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</si>
  <si>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</si>
  <si>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</si>
  <si>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</si>
  <si>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</si>
  <si>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</si>
  <si>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</si>
  <si>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</si>
  <si>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</si>
  <si>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</si>
  <si>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</si>
  <si>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</si>
  <si>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</si>
  <si>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</si>
  <si>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</si>
  <si>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</si>
  <si>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</si>
  <si>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</si>
  <si>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</si>
  <si>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</si>
  <si>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</si>
  <si>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</si>
  <si>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</si>
  <si>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</si>
  <si>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</si>
  <si>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</si>
  <si>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</si>
  <si>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</si>
  <si>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</si>
  <si>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</si>
  <si>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</si>
  <si>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</si>
  <si>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</si>
  <si>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</si>
  <si>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</si>
  <si>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</si>
  <si>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</si>
  <si>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</si>
  <si>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</si>
  <si>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</si>
  <si>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</si>
  <si>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</si>
  <si>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</si>
  <si>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</si>
  <si>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</si>
  <si>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</si>
  <si>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</si>
  <si>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</si>
  <si>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</si>
  <si>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</si>
  <si>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</si>
  <si>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</si>
  <si>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</si>
  <si>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</si>
  <si>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</si>
  <si>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</si>
  <si>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</si>
  <si>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</si>
  <si>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</si>
  <si>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</si>
  <si>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</si>
  <si>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</si>
  <si>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</si>
  <si>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</si>
  <si>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</si>
  <si>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</si>
  <si>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</si>
  <si>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</si>
  <si>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</si>
  <si>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</si>
  <si>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</si>
  <si>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</si>
  <si>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</si>
  <si>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</si>
  <si>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</si>
  <si>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</si>
  <si>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</si>
  <si>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</si>
  <si>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</si>
  <si>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</si>
  <si>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</si>
  <si>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</si>
  <si>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</si>
  <si>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</si>
  <si>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</si>
  <si>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</si>
  <si>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</si>
  <si>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</si>
  <si>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</si>
  <si>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</si>
  <si>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</si>
  <si>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</si>
  <si>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</si>
  <si>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</si>
  <si>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</si>
  <si>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</si>
  <si>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</si>
  <si>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</si>
  <si>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</si>
  <si>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</si>
  <si>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</si>
  <si>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</si>
  <si>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</si>
  <si>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</si>
  <si>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</si>
  <si>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</si>
  <si>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</si>
  <si>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</si>
  <si>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</si>
  <si>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</si>
  <si>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</si>
  <si>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</si>
  <si>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</si>
  <si>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</si>
  <si>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</si>
  <si>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</si>
  <si>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</si>
  <si>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</si>
  <si>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</si>
  <si>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</si>
  <si>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</si>
  <si>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</si>
  <si>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</si>
  <si>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</si>
  <si>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</si>
  <si>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</si>
  <si>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</si>
  <si>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</si>
  <si>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</si>
  <si>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</si>
  <si>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</si>
  <si>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</si>
  <si>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</si>
  <si>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</si>
  <si>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</si>
  <si>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</si>
  <si>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</si>
  <si>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</si>
  <si>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</si>
  <si>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</si>
  <si>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</si>
  <si>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</si>
  <si>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</si>
  <si>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</si>
  <si>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</si>
  <si>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</si>
  <si>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</si>
  <si>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</si>
  <si>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</si>
  <si>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</si>
  <si>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</si>
  <si>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</si>
  <si>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</si>
  <si>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</si>
  <si>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</si>
  <si>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</si>
  <si>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</si>
  <si>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</si>
  <si>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</si>
  <si>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</si>
  <si>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</si>
  <si>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</si>
  <si>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</si>
  <si>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</si>
  <si>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</si>
  <si>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</si>
  <si>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</si>
  <si>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</si>
  <si>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</si>
  <si>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</si>
  <si>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</si>
  <si>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</si>
  <si>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</si>
  <si>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</si>
  <si>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</si>
  <si>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</si>
  <si>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</si>
  <si>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</si>
  <si>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</si>
  <si>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</si>
  <si>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</si>
  <si>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</si>
  <si>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</si>
  <si>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</si>
  <si>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</si>
  <si>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</si>
  <si>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</si>
  <si>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</si>
  <si>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</si>
  <si>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</si>
  <si>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</si>
  <si>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</si>
  <si>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</si>
  <si>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</si>
  <si>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</si>
  <si>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</si>
  <si>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</si>
  <si>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</si>
  <si>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</si>
  <si>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</si>
  <si>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</si>
  <si>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</si>
  <si>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</si>
  <si>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</si>
  <si>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</si>
  <si>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</si>
  <si>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</si>
  <si>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</si>
  <si>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</si>
  <si>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</si>
  <si>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</si>
  <si>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</si>
  <si>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</si>
  <si>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</si>
  <si>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</si>
  <si>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</si>
  <si>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</si>
  <si>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</si>
  <si>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</si>
  <si>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</si>
  <si>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</si>
  <si>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</si>
  <si>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</si>
  <si>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</si>
  <si>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</si>
  <si>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</si>
  <si>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</si>
  <si>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</si>
  <si>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</si>
  <si>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</si>
  <si>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</si>
  <si>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</si>
  <si>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</si>
  <si>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</si>
  <si>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</si>
  <si>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</si>
  <si>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</si>
  <si>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</si>
  <si>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</si>
  <si>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</si>
  <si>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</si>
  <si>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</si>
  <si>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</si>
  <si>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</si>
  <si>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</si>
  <si>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</si>
  <si>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</si>
  <si>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</si>
  <si>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</si>
  <si>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</si>
  <si>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</si>
  <si>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</si>
  <si>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</si>
  <si>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</si>
  <si>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</si>
  <si>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</si>
  <si>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</si>
  <si>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</si>
  <si>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</si>
  <si>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</si>
  <si>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</si>
  <si>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</si>
  <si>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</si>
  <si>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</si>
  <si>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</si>
  <si>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</si>
  <si>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</si>
  <si>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</si>
  <si>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</si>
  <si>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</si>
  <si>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</si>
  <si>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</si>
  <si>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</si>
  <si>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</si>
  <si>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</si>
  <si>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</si>
  <si>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</si>
  <si>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</si>
  <si>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</si>
  <si>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</si>
  <si>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</si>
  <si>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</si>
  <si>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</si>
  <si>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</si>
  <si>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</si>
  <si>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</si>
  <si>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</si>
  <si>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</si>
  <si>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</si>
  <si>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</si>
  <si>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</si>
  <si>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</si>
  <si>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</si>
  <si>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</si>
  <si>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</si>
  <si>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</si>
  <si>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</si>
  <si>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</si>
  <si>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</si>
  <si>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</si>
  <si>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</si>
  <si>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</si>
  <si>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</si>
  <si>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</si>
  <si>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</si>
  <si>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</si>
  <si>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</si>
  <si>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</si>
  <si>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</si>
  <si>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</si>
  <si>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</si>
  <si>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</si>
  <si>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</si>
  <si>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</si>
  <si>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</si>
  <si>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</si>
  <si>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</si>
  <si>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</si>
  <si>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</si>
  <si>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</si>
  <si>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</si>
  <si>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</si>
  <si>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</si>
  <si>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</si>
  <si>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</si>
  <si>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</si>
  <si>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</si>
  <si>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</si>
  <si>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</si>
  <si>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</si>
  <si>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</si>
  <si>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</si>
  <si>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</si>
  <si>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</si>
  <si>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</si>
  <si>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</si>
  <si>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</si>
  <si>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</si>
  <si>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</si>
  <si>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</si>
  <si>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</si>
  <si>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</si>
  <si>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</si>
  <si>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</si>
  <si>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</si>
  <si>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</si>
  <si>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</si>
  <si>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</si>
  <si>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</si>
  <si>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</si>
  <si>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</si>
  <si>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</si>
  <si>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</si>
  <si>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</si>
  <si>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</si>
  <si>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</si>
  <si>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</si>
  <si>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</si>
  <si>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</si>
  <si>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</si>
  <si>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</si>
  <si>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</si>
  <si>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</si>
  <si>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</si>
  <si>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</si>
  <si>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</si>
  <si>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</si>
  <si>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</si>
  <si>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</si>
  <si>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</si>
  <si>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</si>
  <si>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</si>
  <si>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</si>
  <si>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</si>
  <si>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</si>
  <si>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</si>
  <si>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</si>
  <si>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</si>
  <si>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</si>
  <si>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</si>
  <si>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</si>
  <si>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</si>
  <si>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</si>
  <si>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</si>
  <si>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</si>
  <si>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</si>
  <si>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</si>
  <si>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</si>
  <si>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</si>
  <si>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</si>
  <si>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</si>
  <si>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</si>
  <si>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</si>
  <si>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</si>
  <si>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</si>
  <si>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</si>
  <si>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</si>
  <si>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</si>
  <si>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</si>
  <si>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</si>
  <si>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</si>
  <si>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</si>
  <si>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</si>
  <si>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</si>
  <si>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</si>
  <si>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</si>
  <si>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</si>
  <si>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</si>
  <si>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</si>
  <si>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</si>
  <si>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</si>
  <si>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</si>
  <si>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</si>
  <si>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</si>
  <si>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</si>
  <si>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</si>
  <si>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</si>
  <si>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</si>
  <si>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</si>
  <si>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</si>
  <si>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</si>
  <si>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</si>
  <si>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</si>
  <si>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</si>
  <si>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</si>
  <si>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</si>
  <si>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</si>
  <si>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</si>
  <si>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</si>
  <si>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</si>
  <si>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</si>
  <si>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</si>
  <si>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</si>
  <si>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</si>
  <si>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</si>
  <si>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</si>
  <si>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</si>
  <si>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</si>
  <si>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</si>
  <si>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</si>
  <si>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</si>
  <si>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</si>
  <si>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</si>
  <si>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</si>
  <si>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</si>
  <si>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</si>
  <si>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</si>
  <si>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</si>
  <si>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</si>
  <si>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</si>
  <si>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</si>
  <si>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</si>
  <si>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</si>
  <si>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</si>
  <si>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</si>
  <si>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</si>
  <si>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</si>
  <si>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</si>
  <si>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</si>
  <si>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</si>
  <si>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</si>
  <si>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</si>
  <si>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</si>
  <si>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</si>
  <si>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</si>
  <si>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</si>
  <si>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</si>
  <si>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</si>
  <si>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</si>
  <si>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</si>
  <si>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</si>
  <si>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</si>
  <si>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</si>
  <si>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</si>
  <si>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</si>
  <si>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</si>
  <si>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</si>
  <si>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</si>
  <si>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</si>
  <si>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</si>
  <si>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</si>
  <si>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</si>
  <si>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</si>
  <si>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</si>
  <si>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</si>
  <si>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</si>
  <si>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</si>
  <si>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</si>
  <si>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</si>
  <si>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</si>
  <si>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</si>
  <si>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</si>
  <si>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</si>
  <si>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</si>
  <si>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</si>
  <si>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</si>
  <si>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</si>
  <si>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</si>
  <si>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</si>
  <si>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</si>
  <si>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</si>
  <si>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</si>
  <si>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</si>
  <si>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</si>
  <si>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</si>
  <si>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</si>
  <si>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</si>
  <si>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</si>
  <si>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</si>
  <si>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</si>
  <si>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</si>
  <si>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</si>
  <si>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</si>
  <si>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</si>
  <si>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</si>
  <si>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</si>
  <si>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</si>
  <si>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</si>
  <si>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</si>
  <si>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</si>
  <si>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</si>
  <si>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</si>
  <si>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</si>
  <si>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</si>
  <si>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</si>
  <si>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</si>
  <si>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</si>
  <si>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</si>
  <si>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</si>
  <si>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</si>
  <si>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</si>
  <si>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</si>
  <si>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</si>
  <si>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</si>
  <si>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</si>
  <si>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</si>
  <si>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</si>
  <si>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</si>
  <si>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</si>
  <si>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</si>
  <si>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</si>
  <si>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</si>
  <si>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</si>
  <si>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</si>
  <si>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</si>
  <si>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</si>
  <si>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</si>
  <si>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</si>
  <si>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</si>
  <si>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</si>
  <si>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</si>
  <si>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</si>
  <si>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</si>
  <si>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</si>
  <si>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</si>
  <si>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</si>
  <si>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</si>
  <si>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</si>
  <si>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</si>
  <si>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</si>
  <si>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</si>
  <si>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</si>
  <si>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</si>
  <si>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</si>
  <si>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</si>
  <si>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</si>
  <si>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</si>
  <si>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</si>
  <si>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</si>
  <si>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</si>
  <si>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</si>
  <si>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</si>
  <si>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</si>
  <si>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</si>
  <si>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</si>
  <si>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</si>
  <si>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</si>
  <si>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</si>
  <si>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</si>
  <si>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</si>
  <si>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</si>
  <si>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</si>
  <si>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</si>
  <si>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</si>
  <si>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</si>
  <si>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</si>
  <si>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</si>
  <si>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</si>
  <si>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</si>
  <si>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</si>
  <si>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</si>
  <si>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</si>
  <si>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</si>
  <si>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</si>
  <si>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</si>
  <si>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</si>
  <si>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</si>
  <si>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</si>
  <si>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</si>
  <si>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</si>
  <si>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</si>
  <si>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</si>
  <si>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</si>
  <si>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</si>
  <si>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</si>
  <si>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</si>
  <si>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</si>
  <si>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</si>
  <si>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</si>
  <si>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</si>
  <si>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</si>
  <si>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</si>
  <si>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</si>
  <si>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</si>
  <si>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</si>
  <si>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</si>
  <si>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</si>
  <si>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</si>
  <si>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</si>
  <si>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</si>
  <si>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</si>
  <si>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</si>
  <si>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</si>
  <si>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</si>
  <si>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</si>
  <si>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</si>
  <si>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</si>
  <si>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</si>
  <si>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</si>
  <si>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</si>
  <si>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</si>
  <si>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</si>
  <si>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</si>
  <si>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</si>
  <si>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</si>
  <si>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</si>
  <si>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</si>
  <si>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</si>
  <si>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</si>
  <si>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</si>
  <si>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</si>
  <si>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</si>
  <si>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</si>
  <si>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</si>
  <si>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</si>
  <si>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</si>
  <si>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</si>
  <si>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</si>
  <si>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</si>
  <si>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</si>
  <si>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</si>
  <si>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</si>
  <si>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</si>
  <si>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</si>
  <si>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</si>
  <si>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</si>
  <si>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</si>
  <si>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</si>
  <si>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</si>
  <si>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</si>
  <si>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</si>
  <si>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</si>
  <si>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</si>
  <si>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</si>
  <si>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</si>
  <si>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</si>
  <si>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</si>
  <si>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</si>
  <si>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</si>
  <si>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</si>
  <si>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</si>
  <si>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</si>
  <si>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</si>
  <si>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</si>
  <si>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</si>
  <si>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</si>
  <si>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</si>
  <si>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</si>
  <si>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</si>
  <si>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</si>
  <si>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</si>
  <si>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</si>
  <si>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</si>
  <si>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</si>
  <si>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</si>
  <si>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</si>
  <si>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</si>
  <si>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</si>
  <si>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</si>
  <si>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</si>
  <si>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</si>
  <si>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</si>
  <si>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</si>
  <si>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</si>
  <si>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</si>
  <si>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</si>
  <si>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</si>
  <si>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</si>
  <si>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</si>
  <si>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</si>
  <si>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</si>
  <si>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</si>
  <si>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</si>
  <si>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</si>
  <si>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</si>
  <si>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</si>
  <si>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</si>
  <si>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</si>
  <si>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</si>
  <si>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</si>
  <si>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</si>
  <si>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</si>
  <si>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</si>
  <si>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</si>
  <si>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</si>
  <si>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</si>
  <si>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</si>
  <si>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</si>
  <si>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</si>
  <si>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</si>
  <si>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</si>
  <si>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</si>
  <si>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</si>
  <si>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</si>
  <si>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</si>
  <si>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</si>
  <si>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</si>
  <si>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</si>
  <si>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</si>
  <si>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</si>
  <si>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</si>
  <si>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</si>
  <si>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</si>
  <si>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</si>
  <si>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</si>
  <si>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</si>
  <si>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</si>
  <si>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</si>
  <si>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</si>
  <si>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</si>
  <si>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</si>
  <si>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</si>
  <si>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</si>
  <si>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</si>
  <si>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</si>
  <si>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</si>
  <si>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</si>
  <si>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</si>
  <si>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</si>
  <si>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</si>
  <si>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</si>
  <si>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</si>
  <si>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</si>
  <si>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</si>
  <si>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</si>
  <si>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</si>
  <si>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</si>
  <si>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</si>
  <si>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</si>
  <si>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</si>
  <si>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</si>
  <si>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</si>
  <si>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</si>
  <si>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</si>
  <si>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</si>
  <si>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</si>
  <si>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</si>
  <si>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</si>
  <si>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</si>
  <si>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</si>
  <si>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</si>
  <si>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</si>
  <si>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</si>
  <si>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</si>
  <si>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</si>
  <si>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</si>
  <si>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</si>
  <si>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</si>
  <si>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</si>
  <si>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</si>
  <si>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</si>
  <si>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</si>
  <si>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</si>
  <si>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</si>
  <si>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</si>
  <si>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</si>
  <si>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</si>
  <si>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</si>
  <si>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</si>
  <si>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</si>
  <si>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</si>
  <si>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</si>
  <si>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</si>
  <si>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</si>
  <si>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</si>
  <si>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</si>
  <si>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</si>
  <si>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</si>
  <si>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</si>
  <si>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</si>
  <si>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</si>
  <si>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</si>
  <si>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</si>
  <si>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</si>
  <si>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</si>
  <si>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</si>
  <si>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</si>
  <si>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</si>
  <si>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</si>
  <si>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</si>
  <si>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</si>
  <si>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</si>
  <si>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</si>
  <si>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</si>
  <si>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</si>
  <si>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</si>
  <si>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</si>
  <si>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</si>
  <si>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</si>
  <si>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</si>
  <si>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</si>
  <si>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</si>
  <si>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</si>
  <si>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</si>
  <si>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</si>
  <si>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</si>
  <si>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</si>
  <si>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</si>
  <si>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</si>
  <si>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</si>
  <si>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</si>
  <si>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</si>
  <si>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</si>
  <si>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</si>
  <si>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</si>
  <si>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</si>
  <si>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</si>
  <si>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</si>
  <si>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</si>
  <si>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</si>
  <si>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</si>
  <si>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</si>
  <si>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</si>
  <si>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</si>
  <si>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</si>
  <si>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</si>
  <si>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</si>
  <si>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</si>
  <si>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</si>
  <si>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</si>
  <si>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</si>
  <si>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</si>
  <si>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</si>
  <si>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</si>
  <si>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</si>
  <si>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</si>
  <si>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</si>
  <si>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</si>
  <si>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</si>
  <si>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</si>
  <si>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</si>
  <si>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</si>
  <si>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</si>
  <si>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</si>
  <si>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</si>
  <si>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</si>
  <si>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</si>
  <si>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</si>
  <si>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</si>
  <si>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</si>
  <si>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</si>
  <si>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</si>
  <si>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</si>
  <si>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</si>
  <si>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</si>
  <si>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</si>
  <si>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</si>
  <si>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</si>
  <si>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</si>
  <si>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</si>
  <si>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</si>
  <si>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</si>
  <si>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</si>
  <si>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</si>
  <si>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</si>
  <si>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</si>
  <si>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</si>
  <si>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</si>
  <si>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</si>
  <si>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</si>
  <si>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</si>
  <si>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</si>
  <si>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</si>
  <si>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</si>
  <si>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</si>
  <si>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</si>
  <si>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</si>
  <si>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</si>
  <si>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</si>
  <si>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</si>
  <si>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</si>
  <si>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</si>
  <si>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</si>
  <si>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</si>
  <si>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</si>
  <si>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</si>
  <si>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</si>
  <si>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</si>
  <si>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</si>
  <si>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</si>
  <si>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</si>
  <si>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</si>
  <si>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</si>
  <si>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</si>
  <si>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</si>
  <si>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</si>
  <si>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</si>
  <si>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</si>
  <si>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</si>
  <si>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</si>
  <si>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</si>
  <si>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</si>
  <si>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</si>
  <si>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</si>
  <si>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</si>
  <si>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</si>
  <si>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</si>
  <si>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</si>
  <si>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</si>
  <si>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</si>
  <si>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</si>
  <si>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</si>
  <si>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</si>
  <si>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</si>
  <si>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</si>
  <si>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</si>
  <si>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</si>
  <si>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</si>
  <si>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</si>
  <si>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</si>
  <si>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</si>
  <si>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</si>
  <si>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</si>
  <si>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</si>
  <si>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</si>
  <si>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</si>
  <si>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</si>
  <si>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</si>
  <si>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</si>
  <si>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</si>
  <si>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</si>
  <si>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</si>
  <si>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</si>
  <si>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</si>
  <si>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</si>
  <si>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</si>
  <si>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</si>
  <si>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</si>
  <si>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</si>
  <si>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</si>
  <si>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</si>
  <si>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</si>
  <si>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</si>
  <si>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</si>
  <si>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</si>
  <si>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</si>
  <si>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</si>
  <si>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</si>
  <si>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</si>
  <si>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</si>
  <si>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</si>
  <si>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</si>
  <si>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</si>
  <si>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</si>
  <si>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</si>
  <si>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</si>
  <si>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</si>
  <si>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</si>
  <si>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</si>
  <si>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</si>
  <si>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</si>
  <si>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</si>
  <si>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</si>
  <si>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</si>
  <si>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</si>
  <si>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</si>
  <si>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</si>
  <si>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</si>
  <si>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</si>
  <si>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</si>
  <si>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</si>
  <si>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</si>
  <si>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</si>
  <si>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</si>
  <si>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</si>
  <si>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</si>
  <si>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</si>
  <si>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</si>
  <si>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</si>
  <si>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</si>
  <si>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</si>
  <si>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</si>
  <si>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</si>
  <si>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</si>
  <si>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</si>
  <si>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</si>
  <si>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</si>
  <si>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</si>
  <si>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</si>
  <si>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</si>
  <si>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</si>
  <si>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</si>
  <si>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</si>
  <si>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</si>
  <si>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</si>
  <si>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</si>
  <si>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</si>
  <si>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</si>
  <si>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</si>
  <si>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</si>
  <si>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</si>
  <si>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</si>
  <si>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</si>
  <si>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</si>
  <si>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</si>
  <si>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</si>
  <si>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</si>
  <si>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</si>
  <si>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</si>
  <si>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</si>
  <si>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</si>
  <si>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</si>
  <si>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</si>
  <si>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</si>
  <si>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</si>
  <si>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</si>
  <si>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</si>
  <si>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</si>
  <si>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</si>
  <si>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</si>
  <si>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</si>
  <si>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</si>
  <si>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</si>
  <si>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</si>
  <si>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</si>
  <si>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</si>
  <si>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</si>
  <si>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</si>
  <si>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</si>
  <si>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</si>
  <si>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</si>
  <si>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</si>
  <si>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</si>
  <si>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</si>
  <si>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</si>
  <si>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</si>
  <si>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</si>
  <si>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</si>
  <si>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</si>
  <si>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</si>
  <si>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</si>
  <si>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</si>
  <si>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</si>
  <si>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</si>
  <si>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</si>
  <si>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</si>
  <si>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</si>
  <si>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</si>
  <si>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</si>
  <si>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</si>
  <si>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</si>
  <si>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</si>
  <si>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</si>
  <si>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</si>
  <si>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</si>
  <si>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</si>
  <si>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</si>
  <si>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</si>
  <si>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</si>
  <si>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</si>
  <si>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</si>
  <si>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</si>
  <si>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</si>
  <si>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</si>
  <si>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</si>
  <si>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</si>
  <si>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</si>
  <si>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</si>
  <si>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</si>
  <si>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</si>
  <si>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</si>
  <si>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</si>
  <si>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</si>
  <si>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</si>
  <si>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</si>
  <si>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</si>
  <si>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</si>
  <si>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</si>
  <si>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</si>
  <si>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</si>
  <si>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</si>
  <si>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</si>
  <si>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</si>
  <si>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</si>
  <si>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</si>
  <si>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</si>
  <si>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</si>
  <si>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</si>
  <si>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</si>
  <si>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</si>
  <si>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</si>
  <si>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</si>
  <si>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</si>
  <si>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</si>
  <si>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</si>
  <si>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</si>
  <si>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</si>
  <si>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</si>
  <si>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</si>
  <si>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</si>
  <si>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</si>
  <si>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</si>
  <si>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</si>
  <si>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</si>
  <si>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</si>
  <si>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</si>
  <si>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</si>
  <si>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</si>
  <si>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</si>
  <si>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</si>
  <si>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</si>
  <si>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</si>
  <si>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</si>
  <si>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</si>
  <si>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</si>
  <si>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</si>
  <si>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</si>
  <si>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</si>
  <si>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</si>
  <si>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</si>
  <si>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</si>
  <si>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</si>
  <si>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</si>
  <si>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</si>
  <si>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</si>
  <si>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</si>
  <si>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</si>
  <si>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</si>
  <si>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</si>
  <si>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</si>
  <si>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</si>
  <si>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</si>
  <si>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</si>
  <si>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</si>
  <si>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</si>
  <si>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</si>
  <si>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</si>
  <si>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</si>
  <si>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</si>
  <si>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</si>
  <si>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</si>
  <si>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</si>
  <si>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</si>
  <si>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</si>
  <si>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</si>
  <si>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</si>
  <si>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</si>
  <si>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</si>
  <si>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</si>
  <si>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</si>
  <si>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</si>
  <si>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</si>
  <si>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</si>
  <si>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</si>
  <si>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</si>
  <si>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</si>
  <si>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</si>
  <si>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</si>
  <si>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</si>
  <si>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</si>
  <si>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</si>
  <si>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</si>
  <si>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</si>
  <si>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</si>
  <si>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</si>
  <si>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</si>
  <si>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</si>
  <si>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</si>
  <si>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</si>
  <si>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</si>
  <si>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</si>
  <si>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</si>
  <si>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</si>
  <si>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</si>
  <si>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</si>
  <si>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</si>
  <si>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</si>
  <si>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</si>
  <si>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</si>
  <si>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</si>
  <si>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</si>
  <si>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</si>
  <si>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</si>
  <si>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</si>
  <si>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</si>
  <si>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</si>
  <si>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</si>
  <si>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</si>
  <si>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</si>
  <si>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</si>
  <si>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</si>
  <si>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</si>
  <si>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</si>
  <si>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</si>
  <si>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</si>
  <si>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</si>
  <si>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</si>
  <si>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</si>
  <si>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</si>
  <si>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</si>
  <si>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</si>
  <si>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</si>
  <si>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</si>
  <si>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</si>
  <si>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</si>
  <si>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</si>
  <si>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</si>
  <si>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</si>
  <si>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</si>
  <si>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</si>
  <si>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</si>
  <si>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</si>
  <si>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</si>
  <si>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</si>
  <si>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</si>
  <si>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</si>
  <si>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</si>
  <si>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</si>
  <si>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</si>
  <si>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</si>
  <si>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</si>
  <si>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</si>
  <si>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</si>
  <si>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</si>
  <si>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</si>
  <si>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</si>
  <si>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</si>
  <si>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</si>
  <si>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</si>
  <si>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</si>
  <si>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</si>
  <si>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</si>
  <si>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</si>
  <si>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</si>
  <si>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</si>
  <si>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</si>
  <si>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</si>
  <si>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</si>
  <si>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</si>
  <si>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</si>
  <si>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</si>
  <si>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</si>
  <si>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</si>
  <si>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</si>
  <si>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</si>
  <si>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</si>
  <si>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</si>
  <si>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</si>
  <si>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</si>
  <si>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</si>
  <si>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</si>
  <si>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</si>
  <si>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</si>
  <si>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</si>
  <si>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</si>
  <si>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</si>
  <si>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</si>
  <si>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</si>
  <si>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</si>
  <si>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</si>
  <si>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</si>
  <si>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</si>
  <si>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</si>
  <si>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</si>
  <si>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</si>
  <si>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</si>
  <si>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</si>
  <si>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</si>
  <si>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</si>
  <si>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</si>
  <si>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</si>
  <si>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</si>
  <si>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</si>
  <si>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</si>
  <si>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</si>
  <si>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</si>
  <si>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</si>
  <si>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</si>
  <si>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</si>
  <si>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</si>
  <si>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</si>
  <si>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</si>
  <si>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</si>
  <si>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</si>
  <si>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</si>
  <si>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</si>
  <si>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</si>
  <si>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</si>
  <si>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</si>
  <si>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</si>
  <si>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</si>
  <si>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</si>
  <si>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</si>
  <si>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</si>
  <si>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</si>
  <si>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</si>
  <si>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</si>
  <si>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</si>
  <si>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</si>
  <si>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</si>
  <si>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</si>
  <si>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</si>
  <si>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</si>
  <si>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</si>
  <si>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</si>
  <si>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</si>
  <si>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</si>
  <si>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</si>
  <si>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</si>
  <si>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</si>
  <si>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</si>
  <si>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</si>
  <si>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</si>
  <si>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</si>
  <si>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</si>
  <si>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</si>
  <si>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</si>
  <si>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</si>
  <si>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</si>
  <si>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</si>
  <si>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</si>
  <si>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</si>
  <si>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</si>
  <si>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</si>
  <si>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</si>
  <si>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</si>
  <si>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</si>
  <si>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</si>
  <si>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</si>
  <si>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</si>
  <si>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</si>
  <si>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</si>
  <si>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</si>
  <si>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</si>
  <si>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</si>
  <si>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</si>
  <si>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</si>
  <si>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</si>
  <si>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</si>
  <si>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</si>
  <si>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</si>
  <si>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</si>
  <si>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</si>
  <si>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</si>
  <si>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</si>
  <si>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</si>
  <si>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</si>
  <si>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</si>
  <si>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</si>
  <si>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</si>
  <si>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</si>
  <si>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</si>
  <si>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</si>
  <si>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</si>
  <si>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</si>
  <si>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</si>
  <si>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</si>
  <si>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</si>
  <si>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</si>
  <si>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</si>
  <si>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</si>
  <si>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</si>
  <si>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</si>
  <si>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</si>
  <si>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</si>
  <si>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</si>
  <si>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</si>
  <si>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</si>
  <si>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</si>
  <si>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</si>
  <si>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</si>
  <si>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</si>
  <si>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</si>
  <si>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</si>
  <si>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</si>
  <si>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</si>
  <si>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</si>
  <si>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</si>
  <si>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</si>
  <si>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</si>
  <si>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</si>
  <si>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</si>
  <si>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</si>
  <si>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</si>
  <si>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</si>
  <si>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</si>
  <si>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</si>
  <si>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</si>
  <si>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</si>
  <si>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</si>
  <si>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</si>
  <si>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</si>
  <si>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</si>
  <si>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</si>
  <si>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</si>
  <si>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</si>
  <si>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</si>
  <si>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</si>
  <si>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</si>
  <si>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</si>
  <si>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</si>
  <si>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</si>
  <si>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</si>
  <si>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</si>
  <si>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</si>
  <si>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</si>
  <si>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</si>
  <si>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</si>
  <si>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</si>
  <si>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</si>
  <si>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</si>
  <si>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</si>
  <si>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</si>
  <si>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</si>
  <si>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</si>
  <si>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</si>
  <si>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</si>
  <si>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</si>
  <si>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</si>
  <si>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</si>
  <si>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</si>
  <si>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</si>
  <si>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</si>
  <si>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</si>
  <si>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</si>
  <si>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</si>
  <si>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</si>
  <si>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</si>
  <si>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</si>
  <si>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</si>
  <si>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</si>
  <si>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</si>
  <si>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</si>
  <si>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</si>
  <si>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</si>
  <si>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</si>
  <si>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</si>
  <si>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</si>
  <si>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</si>
  <si>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</si>
  <si>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</si>
  <si>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</si>
  <si>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</si>
  <si>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</si>
  <si>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</si>
  <si>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</si>
  <si>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</si>
  <si>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</si>
  <si>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</si>
  <si>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</si>
  <si>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</si>
  <si>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</si>
  <si>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</si>
  <si>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</si>
  <si>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</si>
  <si>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</si>
  <si>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</si>
  <si>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</si>
  <si>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</si>
  <si>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</si>
  <si>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</si>
  <si>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</si>
  <si>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</si>
  <si>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</si>
  <si>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</si>
  <si>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</si>
  <si>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</si>
  <si>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</si>
  <si>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</si>
  <si>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</si>
  <si>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</si>
  <si>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</si>
  <si>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</si>
  <si>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</si>
  <si>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</si>
  <si>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</si>
  <si>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</si>
  <si>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</si>
  <si>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</si>
  <si>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</si>
  <si>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</si>
  <si>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</si>
  <si>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</si>
  <si>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</si>
  <si>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</si>
  <si>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</si>
  <si>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</si>
  <si>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</si>
  <si>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</si>
  <si>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</si>
  <si>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</si>
  <si>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</si>
  <si>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</si>
  <si>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</si>
  <si>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</si>
  <si>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</si>
  <si>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</si>
  <si>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</si>
  <si>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</si>
  <si>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</si>
  <si>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</si>
  <si>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</si>
  <si>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</si>
  <si>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</si>
  <si>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</si>
  <si>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</si>
  <si>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</si>
  <si>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</si>
  <si>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</si>
  <si>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</si>
  <si>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</si>
  <si>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</si>
  <si>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</si>
  <si>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</si>
  <si>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</si>
  <si>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</si>
  <si>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</si>
  <si>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</si>
  <si>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</si>
  <si>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</si>
  <si>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</si>
  <si>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</si>
  <si>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</si>
  <si>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</si>
  <si>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</si>
  <si>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</si>
  <si>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</si>
  <si>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</si>
  <si>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</si>
  <si>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</si>
  <si>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</si>
  <si>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</si>
  <si>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</si>
  <si>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</si>
  <si>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</si>
  <si>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</si>
  <si>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</si>
  <si>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</si>
  <si>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</si>
  <si>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</si>
  <si>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</si>
  <si>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</si>
  <si>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</si>
  <si>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</si>
  <si>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</si>
  <si>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</si>
  <si>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</si>
  <si>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</si>
  <si>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</si>
  <si>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</si>
  <si>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</si>
  <si>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</si>
  <si>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</si>
  <si>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</si>
  <si>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</si>
  <si>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</si>
  <si>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</si>
  <si>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</si>
  <si>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</si>
  <si>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</si>
  <si>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</si>
  <si>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</si>
  <si>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</si>
  <si>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</si>
  <si>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</si>
  <si>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</si>
  <si>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</si>
  <si>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</si>
  <si>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</si>
  <si>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</si>
  <si>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</si>
  <si>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</si>
  <si>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</si>
  <si>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</si>
  <si>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</si>
  <si>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</si>
  <si>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</si>
  <si>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</si>
  <si>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</si>
  <si>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</si>
  <si>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</si>
  <si>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</si>
  <si>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</si>
  <si>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</si>
  <si>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</si>
  <si>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</si>
  <si>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</si>
  <si>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</si>
  <si>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</si>
  <si>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</si>
  <si>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</si>
  <si>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</si>
  <si>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</si>
  <si>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</si>
  <si>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</si>
  <si>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</si>
  <si>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</si>
  <si>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</si>
  <si>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</si>
  <si>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</si>
  <si>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</si>
  <si>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</si>
  <si>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</si>
  <si>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</si>
  <si>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</si>
  <si>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</si>
  <si>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</si>
  <si>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</si>
  <si>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</si>
  <si>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</si>
  <si>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</si>
  <si>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</si>
  <si>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</si>
  <si>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</si>
  <si>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</si>
  <si>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</si>
  <si>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</si>
  <si>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</si>
  <si>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</si>
  <si>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</si>
  <si>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</si>
  <si>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</si>
  <si>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</si>
  <si>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</si>
  <si>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</si>
  <si>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</si>
  <si>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</si>
  <si>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</si>
  <si>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</si>
  <si>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</si>
  <si>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</si>
  <si>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</si>
  <si>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</si>
  <si>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</si>
  <si>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</si>
  <si>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</si>
  <si>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</si>
  <si>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</si>
  <si>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</si>
  <si>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</si>
  <si>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</si>
  <si>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</si>
  <si>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</si>
  <si>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</si>
  <si>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</si>
  <si>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</si>
  <si>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</si>
  <si>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</si>
  <si>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</si>
  <si>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</si>
  <si>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</si>
  <si>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</si>
  <si>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</si>
  <si>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</si>
  <si>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</si>
  <si>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</si>
  <si>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</si>
  <si>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</si>
  <si>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</si>
  <si>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</si>
  <si>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</si>
  <si>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</si>
  <si>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</si>
  <si>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</si>
  <si>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</si>
  <si>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</si>
  <si>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</si>
  <si>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</si>
  <si>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</si>
  <si>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</si>
  <si>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</si>
  <si>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</si>
  <si>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</si>
  <si>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</si>
  <si>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</si>
  <si>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</si>
  <si>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</si>
  <si>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</si>
  <si>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</si>
  <si>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</si>
  <si>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</si>
  <si>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</si>
  <si>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</si>
  <si>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</si>
  <si>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</si>
  <si>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</si>
  <si>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</si>
  <si>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</si>
  <si>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</si>
  <si>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</si>
  <si>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</si>
  <si>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</si>
  <si>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</si>
  <si>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</si>
  <si>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</si>
  <si>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</si>
  <si>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</si>
  <si>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</si>
  <si>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</si>
  <si>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</si>
  <si>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</si>
  <si>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</si>
  <si>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</si>
  <si>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</si>
  <si>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</si>
  <si>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</si>
  <si>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</si>
  <si>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</si>
  <si>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</si>
  <si>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</si>
  <si>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</si>
  <si>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</si>
  <si>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</si>
  <si>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</si>
  <si>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</si>
  <si>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</si>
  <si>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</si>
  <si>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</si>
  <si>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</si>
  <si>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</si>
  <si>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</si>
  <si>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</si>
  <si>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</si>
  <si>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</si>
  <si>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</si>
  <si>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</si>
  <si>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</si>
  <si>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</si>
  <si>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</si>
  <si>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</si>
  <si>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</si>
  <si>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</si>
  <si>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</si>
  <si>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</si>
  <si>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</si>
  <si>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</si>
  <si>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</si>
  <si>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</si>
  <si>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</si>
  <si>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</si>
  <si>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</si>
  <si>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</si>
  <si>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</si>
  <si>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</si>
  <si>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</si>
  <si>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</si>
  <si>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</si>
  <si>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</si>
  <si>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</si>
  <si>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</si>
  <si>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</si>
  <si>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</si>
  <si>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</si>
  <si>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</si>
  <si>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</si>
  <si>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</si>
  <si>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</si>
  <si>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</si>
  <si>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</si>
  <si>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</si>
  <si>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</si>
  <si>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</si>
  <si>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</si>
  <si>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</si>
  <si>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</si>
  <si>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</si>
  <si>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</si>
  <si>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</si>
  <si>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</si>
  <si>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</si>
  <si>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</si>
  <si>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</si>
  <si>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</si>
  <si>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</si>
  <si>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</si>
  <si>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</si>
  <si>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</si>
  <si>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</si>
  <si>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</si>
  <si>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</si>
  <si>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</si>
  <si>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</si>
  <si>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</si>
  <si>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</si>
  <si>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</si>
  <si>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</si>
  <si>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</si>
  <si>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</si>
  <si>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</si>
  <si>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</si>
  <si>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</si>
  <si>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</si>
  <si>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</si>
  <si>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</si>
  <si>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</si>
  <si>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</si>
  <si>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</si>
  <si>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</si>
  <si>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</si>
  <si>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</si>
  <si>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</si>
  <si>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</si>
  <si>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</si>
  <si>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</si>
  <si>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</si>
  <si>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</si>
  <si>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</si>
  <si>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</si>
  <si>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</si>
  <si>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</si>
  <si>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</si>
  <si>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</si>
  <si>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</si>
  <si>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</si>
  <si>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</si>
  <si>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</si>
  <si>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</si>
  <si>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</si>
  <si>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</si>
  <si>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</si>
  <si>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</si>
  <si>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</si>
  <si>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</si>
  <si>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</si>
  <si>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</si>
  <si>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</si>
  <si>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</si>
  <si>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</si>
  <si>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</si>
  <si>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</si>
  <si>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</si>
  <si>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</si>
  <si>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</si>
  <si>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</si>
  <si>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</si>
  <si>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</si>
  <si>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</si>
  <si>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</si>
  <si>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</si>
  <si>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</si>
  <si>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</si>
  <si>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</si>
  <si>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</si>
  <si>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</si>
  <si>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</si>
  <si>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</si>
  <si>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</si>
  <si>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</si>
  <si>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</si>
  <si>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</si>
  <si>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</si>
  <si>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</si>
  <si>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</si>
  <si>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</si>
  <si>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</si>
  <si>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</si>
  <si>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</si>
  <si>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</si>
  <si>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</si>
  <si>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</si>
  <si>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</si>
  <si>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</si>
  <si>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</si>
  <si>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</si>
  <si>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</si>
  <si>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</si>
  <si>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</si>
  <si>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</si>
  <si>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</si>
  <si>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</si>
  <si>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</si>
  <si>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</si>
  <si>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</si>
  <si>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</si>
  <si>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</si>
  <si>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</si>
  <si>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</si>
  <si>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</si>
  <si>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</si>
  <si>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</si>
  <si>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</si>
  <si>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</si>
  <si>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</si>
  <si>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</si>
  <si>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</si>
  <si>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</si>
  <si>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</si>
  <si>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</si>
  <si>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</si>
  <si>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</si>
  <si>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</si>
  <si>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</si>
  <si>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</si>
  <si>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</si>
  <si>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</si>
  <si>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</si>
  <si>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</si>
  <si>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</si>
  <si>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</si>
  <si>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</si>
  <si>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</si>
  <si>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</si>
  <si>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</si>
  <si>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</si>
  <si>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</si>
  <si>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</si>
  <si>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</si>
  <si>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</si>
  <si>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</si>
  <si>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</si>
  <si>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</si>
  <si>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</si>
  <si>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</si>
  <si>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</si>
  <si>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</si>
  <si>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</si>
  <si>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</si>
  <si>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</si>
  <si>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</si>
  <si>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</si>
  <si>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</si>
  <si>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</si>
  <si>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</si>
  <si>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</si>
  <si>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</si>
  <si>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</si>
  <si>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</si>
  <si>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</si>
  <si>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</si>
  <si>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</si>
  <si>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</si>
  <si>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</si>
  <si>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</si>
  <si>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</si>
  <si>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</si>
  <si>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</si>
  <si>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</si>
  <si>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</si>
  <si>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</si>
  <si>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</si>
  <si>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</si>
  <si>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</si>
  <si>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</si>
  <si>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</si>
  <si>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</si>
  <si>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</si>
  <si>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</si>
  <si>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</si>
  <si>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</si>
  <si>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</si>
  <si>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</si>
  <si>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</si>
  <si>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</si>
  <si>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</si>
  <si>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</si>
  <si>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</si>
  <si>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</si>
  <si>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</si>
  <si>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</si>
  <si>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</si>
  <si>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</si>
  <si>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</si>
  <si>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</si>
  <si>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</si>
  <si>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</si>
  <si>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</si>
  <si>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</si>
  <si>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</si>
  <si>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</si>
  <si>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</si>
  <si>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</si>
  <si>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</si>
  <si>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</si>
  <si>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</si>
  <si>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</si>
  <si>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</si>
  <si>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</si>
  <si>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</si>
  <si>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</si>
  <si>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</si>
  <si>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</si>
  <si>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</si>
  <si>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</si>
  <si>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</si>
  <si>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</si>
  <si>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</si>
  <si>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</si>
  <si>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</si>
  <si>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</si>
  <si>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</si>
  <si>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</si>
  <si>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</si>
  <si>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</si>
  <si>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</si>
  <si>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</si>
  <si>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</si>
  <si>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</si>
  <si>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</si>
  <si>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</si>
  <si>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</si>
  <si>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</si>
  <si>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</si>
  <si>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</si>
  <si>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</si>
  <si>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</si>
  <si>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</si>
  <si>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</si>
  <si>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</si>
  <si>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</si>
  <si>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</si>
  <si>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</si>
  <si>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</si>
  <si>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</si>
  <si>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</si>
  <si>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</si>
  <si>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</si>
  <si>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</si>
  <si>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</si>
  <si>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</si>
  <si>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</si>
  <si>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</si>
  <si>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</si>
  <si>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</si>
  <si>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</si>
  <si>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</si>
  <si>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</si>
  <si>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</si>
  <si>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</si>
  <si>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</si>
  <si>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</si>
  <si>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</si>
  <si>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</si>
  <si>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</si>
  <si>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</si>
  <si>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</si>
  <si>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</si>
  <si>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</si>
  <si>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</si>
  <si>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</si>
  <si>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</si>
  <si>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</si>
  <si>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</si>
  <si>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</si>
  <si>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</si>
  <si>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</si>
  <si>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</si>
  <si>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</si>
  <si>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</si>
  <si>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</si>
  <si>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</si>
  <si>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</si>
  <si>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</si>
  <si>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</si>
  <si>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</si>
  <si>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</si>
  <si>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</si>
  <si>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</si>
  <si>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</si>
  <si>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</si>
  <si>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</si>
  <si>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</si>
  <si>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</si>
  <si>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</si>
  <si>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</si>
  <si>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</si>
  <si>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</si>
  <si>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</si>
  <si>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</si>
  <si>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</si>
  <si>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</si>
  <si>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</si>
  <si>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</si>
  <si>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</si>
  <si>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</si>
  <si>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</si>
  <si>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</si>
  <si>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</si>
  <si>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</si>
  <si>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</si>
  <si>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</si>
  <si>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</si>
  <si>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</si>
  <si>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</si>
  <si>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</si>
  <si>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</si>
  <si>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</si>
  <si>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</si>
  <si>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</si>
  <si>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</si>
  <si>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</si>
  <si>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</si>
  <si>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</si>
  <si>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</si>
  <si>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</si>
  <si>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</si>
  <si>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</si>
  <si>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</si>
  <si>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</si>
  <si>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</si>
  <si>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</si>
  <si>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</si>
  <si>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</si>
  <si>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</si>
  <si>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</si>
  <si>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</si>
  <si>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</si>
  <si>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</si>
  <si>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</si>
  <si>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</si>
  <si>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</si>
  <si>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</si>
  <si>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</si>
  <si>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</si>
  <si>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</si>
  <si>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</si>
  <si>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</si>
  <si>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</si>
  <si>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</si>
  <si>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</si>
  <si>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</si>
  <si>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</si>
  <si>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</si>
  <si>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</si>
  <si>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</si>
  <si>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</si>
  <si>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</si>
  <si>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</si>
  <si>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</si>
  <si>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</si>
  <si>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</si>
  <si>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</si>
  <si>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</si>
  <si>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</si>
  <si>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</si>
  <si>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</si>
  <si>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</si>
  <si>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</si>
  <si>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</si>
  <si>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</si>
  <si>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</si>
  <si>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</si>
  <si>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</si>
  <si>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</si>
  <si>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</si>
  <si>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</si>
  <si>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</si>
  <si>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</si>
  <si>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</si>
  <si>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</si>
  <si>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</si>
  <si>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</si>
  <si>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</si>
  <si>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</si>
  <si>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</si>
  <si>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</si>
  <si>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</si>
  <si>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</si>
  <si>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</si>
  <si>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</si>
  <si>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</si>
  <si>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</si>
  <si>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</si>
  <si>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</si>
  <si>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</si>
  <si>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</si>
  <si>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</si>
  <si>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</si>
  <si>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</si>
  <si>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</si>
  <si>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</si>
  <si>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</si>
  <si>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</si>
  <si>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</si>
  <si>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</si>
  <si>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</si>
  <si>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</si>
  <si>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</si>
  <si>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</si>
  <si>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</si>
  <si>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</si>
  <si>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</si>
  <si>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</si>
  <si>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</si>
  <si>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</si>
  <si>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</si>
  <si>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</si>
  <si>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</si>
  <si>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</si>
  <si>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</si>
  <si>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</si>
  <si>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</si>
  <si>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</si>
  <si>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</si>
  <si>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</si>
  <si>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</si>
  <si>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</si>
  <si>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</si>
  <si>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</si>
  <si>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</si>
  <si>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</si>
  <si>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</si>
  <si>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</si>
  <si>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</si>
  <si>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</si>
  <si>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</si>
  <si>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</si>
  <si>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</si>
  <si>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</si>
  <si>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</si>
  <si>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</si>
  <si>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</si>
  <si>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</si>
  <si>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</si>
  <si>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</si>
  <si>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</si>
  <si>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</si>
  <si>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</si>
  <si>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</si>
  <si>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</si>
  <si>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</si>
  <si>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</si>
  <si>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</si>
  <si>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</si>
  <si>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</si>
  <si>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</si>
  <si>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</si>
  <si>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</si>
  <si>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</si>
  <si>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</si>
  <si>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</si>
  <si>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</si>
  <si>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</si>
  <si>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</si>
  <si>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</si>
  <si>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</si>
  <si>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</si>
  <si>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</si>
  <si>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</si>
  <si>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</si>
  <si>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</si>
  <si>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</si>
  <si>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</si>
  <si>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</si>
  <si>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</si>
  <si>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</si>
  <si>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</si>
  <si>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</si>
  <si>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</si>
  <si>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</si>
  <si>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</si>
  <si>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</si>
  <si>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</si>
  <si>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</si>
  <si>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</si>
  <si>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</si>
  <si>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</si>
  <si>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</si>
  <si>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</si>
  <si>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</si>
  <si>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</si>
  <si>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</si>
  <si>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</si>
  <si>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</si>
  <si>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</si>
  <si>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</si>
  <si>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</si>
  <si>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</si>
  <si>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</si>
  <si>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</si>
  <si>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</si>
  <si>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</si>
  <si>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</si>
  <si>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</si>
  <si>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</si>
  <si>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</si>
  <si>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</si>
  <si>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</si>
  <si>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</si>
  <si>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</si>
  <si>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</si>
  <si>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</si>
  <si>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</si>
  <si>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</si>
  <si>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</si>
  <si>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</si>
  <si>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</si>
  <si>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</si>
  <si>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</si>
  <si>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</si>
  <si>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</si>
  <si>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</si>
  <si>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</si>
  <si>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</si>
  <si>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</si>
  <si>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</si>
  <si>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</si>
  <si>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</si>
  <si>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</si>
  <si>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</si>
  <si>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</si>
  <si>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</si>
  <si>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</si>
  <si>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</si>
  <si>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</si>
  <si>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</si>
  <si>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</si>
  <si>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</si>
  <si>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</si>
  <si>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</si>
  <si>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</si>
  <si>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</si>
  <si>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</si>
  <si>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</si>
  <si>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</si>
  <si>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</si>
  <si>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</si>
  <si>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</si>
  <si>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</si>
  <si>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</si>
  <si>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</si>
  <si>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</si>
  <si>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</si>
  <si>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</si>
  <si>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</si>
  <si>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</si>
  <si>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</si>
  <si>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</si>
  <si>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</si>
  <si>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</si>
  <si>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</si>
  <si>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</si>
  <si>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</si>
  <si>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</si>
  <si>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</si>
  <si>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</si>
  <si>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</si>
  <si>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</si>
  <si>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</si>
  <si>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</si>
  <si>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</si>
  <si>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</si>
  <si>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</si>
  <si>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</si>
  <si>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</si>
  <si>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</si>
  <si>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</si>
  <si>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</si>
  <si>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</si>
  <si>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</si>
  <si>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</si>
  <si>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</si>
  <si>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</si>
  <si>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</si>
  <si>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</si>
  <si>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</si>
  <si>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</si>
  <si>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</si>
  <si>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</si>
  <si>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</si>
  <si>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</si>
  <si>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</si>
  <si>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</si>
  <si>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</si>
  <si>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</si>
  <si>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</si>
  <si>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</si>
  <si>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</si>
  <si>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</si>
  <si>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</si>
  <si>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</si>
  <si>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</si>
  <si>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</si>
  <si>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</si>
  <si>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</si>
  <si>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</si>
  <si>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</si>
  <si>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</si>
  <si>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</si>
  <si>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</si>
  <si>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</si>
  <si>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</si>
  <si>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</si>
  <si>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</si>
  <si>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</si>
  <si>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</si>
  <si>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</si>
  <si>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</si>
  <si>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</si>
  <si>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</si>
  <si>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</si>
  <si>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</si>
  <si>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</si>
  <si>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</si>
  <si>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</si>
  <si>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</si>
  <si>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</si>
  <si>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</si>
  <si>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</si>
  <si>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</si>
  <si>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</si>
  <si>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</si>
  <si>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</si>
  <si>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</si>
  <si>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</si>
  <si>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</si>
  <si>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</si>
  <si>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</si>
  <si>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</si>
  <si>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</si>
  <si>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</si>
  <si>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</si>
  <si>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</si>
  <si>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</si>
  <si>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</si>
  <si>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</si>
  <si>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</si>
  <si>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</si>
  <si>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</si>
  <si>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</si>
  <si>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</si>
  <si>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</si>
  <si>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</si>
  <si>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</si>
  <si>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</si>
  <si>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</si>
  <si>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</si>
  <si>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</si>
  <si>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</si>
  <si>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</si>
  <si>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</si>
  <si>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</si>
  <si>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</si>
  <si>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</si>
  <si>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</si>
  <si>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</si>
  <si>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</si>
  <si>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</si>
  <si>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</si>
  <si>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</si>
  <si>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</si>
  <si>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</si>
  <si>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</si>
  <si>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</si>
  <si>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</si>
  <si>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</si>
  <si>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</si>
  <si>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</si>
  <si>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</si>
  <si>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</si>
  <si>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</si>
  <si>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</si>
  <si>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</si>
  <si>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</si>
  <si>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</si>
  <si>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</si>
  <si>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</si>
  <si>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</si>
  <si>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</si>
  <si>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</si>
  <si>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</si>
  <si>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</si>
  <si>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</si>
  <si>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</si>
  <si>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</si>
  <si>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</si>
  <si>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</si>
  <si>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</si>
  <si>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</si>
  <si>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</si>
  <si>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</si>
  <si>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</si>
  <si>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</si>
  <si>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</si>
  <si>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</si>
  <si>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</si>
  <si>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</si>
  <si>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</si>
  <si>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</si>
  <si>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</si>
  <si>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</si>
  <si>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</si>
  <si>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</si>
  <si>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</si>
  <si>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</si>
  <si>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</si>
  <si>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</si>
  <si>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</si>
  <si>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</si>
  <si>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</si>
  <si>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</si>
  <si>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</si>
  <si>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</si>
  <si>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</si>
  <si>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</si>
  <si>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</si>
  <si>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</si>
  <si>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</si>
  <si>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</si>
  <si>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</si>
  <si>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</si>
  <si>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</si>
  <si>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</si>
  <si>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</si>
  <si>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</si>
  <si>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</si>
  <si>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</si>
  <si>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</si>
  <si>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</si>
  <si>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</si>
  <si>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</si>
  <si>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</si>
  <si>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</si>
  <si>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</si>
  <si>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</si>
  <si>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</si>
  <si>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</si>
  <si>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</si>
  <si>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</si>
  <si>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</si>
  <si>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</si>
  <si>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</si>
  <si>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</si>
  <si>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</si>
  <si>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</si>
  <si>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</si>
  <si>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</si>
  <si>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</si>
  <si>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</si>
  <si>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</si>
  <si>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</si>
  <si>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</si>
  <si>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</si>
  <si>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</si>
  <si>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</si>
  <si>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</si>
  <si>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</si>
  <si>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</si>
  <si>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</si>
  <si>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</si>
  <si>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</si>
  <si>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</si>
  <si>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</si>
  <si>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</si>
  <si>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</si>
  <si>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</si>
  <si>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</si>
  <si>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</si>
  <si>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</si>
  <si>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</si>
  <si>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</si>
  <si>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</si>
  <si>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</si>
  <si>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</si>
  <si>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</si>
  <si>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</si>
  <si>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</si>
  <si>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</si>
  <si>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</si>
  <si>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</si>
  <si>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</si>
  <si>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</si>
  <si>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</si>
  <si>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</si>
  <si>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</si>
  <si>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</si>
  <si>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</si>
  <si>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</si>
  <si>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</si>
  <si>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</si>
  <si>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</si>
  <si>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</si>
  <si>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</si>
  <si>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</si>
  <si>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</si>
  <si>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</si>
  <si>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</si>
  <si>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</si>
  <si>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</si>
  <si>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</si>
  <si>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</si>
  <si>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</si>
  <si>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</si>
  <si>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</si>
  <si>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</si>
  <si>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</si>
  <si>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</si>
  <si>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</si>
  <si>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</si>
  <si>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</si>
  <si>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</si>
  <si>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</si>
  <si>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</si>
  <si>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</si>
  <si>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</si>
  <si>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</si>
  <si>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</si>
  <si>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</si>
  <si>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</si>
  <si>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</si>
  <si>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</si>
  <si>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</si>
  <si>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</si>
  <si>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</si>
  <si>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</si>
  <si>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</si>
  <si>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</si>
  <si>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</si>
  <si>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</si>
  <si>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</si>
  <si>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</si>
  <si>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</si>
  <si>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</si>
  <si>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</si>
  <si>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</si>
  <si>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</si>
  <si>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</si>
  <si>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</si>
  <si>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</si>
  <si>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</si>
  <si>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</si>
  <si>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</si>
  <si>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</si>
  <si>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</si>
  <si>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</si>
  <si>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</si>
  <si>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</si>
  <si>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</si>
  <si>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</si>
  <si>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</si>
  <si>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</si>
  <si>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</si>
  <si>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</si>
  <si>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</si>
  <si>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</si>
  <si>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</si>
  <si>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</si>
  <si>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</si>
  <si>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</si>
  <si>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</si>
  <si>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</si>
  <si>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</si>
  <si>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</si>
  <si>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</si>
  <si>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</si>
  <si>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</si>
  <si>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</si>
  <si>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</si>
  <si>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</si>
  <si>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</si>
  <si>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</si>
  <si>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</si>
  <si>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</si>
  <si>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</si>
  <si>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</si>
  <si>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</si>
  <si>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</si>
  <si>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</si>
  <si>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</si>
  <si>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</si>
  <si>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</si>
  <si>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</si>
  <si>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</si>
  <si>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</si>
  <si>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</si>
  <si>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</si>
  <si>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</si>
  <si>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</si>
  <si>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</si>
  <si>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</si>
  <si>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</si>
  <si>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</si>
  <si>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</si>
  <si>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</si>
  <si>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</si>
  <si>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</si>
  <si>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</si>
  <si>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</si>
  <si>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</si>
  <si>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</si>
  <si>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</si>
  <si>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</si>
  <si>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</si>
  <si>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</si>
  <si>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</si>
  <si>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</si>
  <si>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</si>
  <si>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</si>
  <si>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</si>
  <si>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</si>
  <si>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</si>
  <si>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</si>
  <si>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</si>
  <si>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</si>
  <si>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</si>
  <si>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</si>
  <si>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</si>
  <si>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</si>
  <si>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</si>
  <si>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</si>
  <si>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</si>
  <si>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</si>
  <si>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</si>
  <si>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</si>
  <si>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</si>
  <si>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</si>
  <si>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</si>
  <si>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</si>
  <si>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</si>
  <si>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</si>
  <si>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</si>
  <si>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</si>
  <si>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</si>
  <si>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</si>
  <si>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</si>
  <si>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</si>
  <si>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</si>
  <si>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</si>
  <si>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</si>
  <si>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</si>
  <si>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</si>
  <si>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</si>
  <si>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</si>
  <si>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</si>
  <si>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</si>
  <si>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</si>
  <si>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</si>
  <si>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</si>
  <si>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</si>
  <si>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</si>
  <si>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</si>
  <si>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</si>
  <si>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</si>
  <si>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</si>
  <si>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</si>
  <si>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</si>
  <si>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</si>
  <si>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</si>
  <si>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</si>
  <si>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</si>
  <si>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</si>
  <si>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</si>
  <si>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</si>
  <si>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</si>
  <si>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</si>
  <si>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</si>
  <si>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</si>
  <si>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</si>
  <si>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</si>
  <si>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</si>
  <si>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</si>
  <si>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</si>
  <si>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</si>
  <si>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</si>
  <si>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</si>
  <si>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</si>
  <si>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</si>
  <si>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</si>
  <si>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</si>
  <si>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</si>
  <si>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</si>
  <si>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</si>
  <si>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</si>
  <si>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</si>
  <si>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</si>
  <si>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</si>
  <si>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</si>
  <si>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</si>
  <si>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</si>
  <si>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</si>
  <si>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</si>
  <si>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</si>
  <si>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</si>
  <si>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</si>
  <si>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</si>
  <si>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</si>
  <si>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</si>
  <si>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</si>
  <si>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</si>
  <si>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</si>
  <si>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</si>
  <si>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</si>
  <si>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</si>
  <si>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</si>
  <si>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</si>
  <si>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</si>
  <si>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</si>
  <si>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</si>
  <si>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</si>
  <si>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</si>
  <si>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</si>
  <si>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</si>
  <si>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</si>
  <si>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</si>
  <si>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</si>
  <si>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</si>
  <si>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</si>
  <si>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</si>
  <si>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</si>
  <si>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</si>
  <si>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</si>
  <si>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</si>
  <si>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</si>
  <si>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</si>
  <si>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</si>
  <si>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</si>
  <si>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</si>
  <si>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</si>
  <si>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</si>
  <si>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</si>
  <si>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</si>
  <si>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</si>
  <si>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</si>
  <si>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</si>
  <si>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</si>
  <si>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</si>
  <si>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</si>
  <si>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</si>
  <si>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</si>
  <si>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</si>
  <si>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</si>
  <si>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</si>
  <si>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</si>
  <si>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</si>
  <si>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</si>
  <si>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</si>
  <si>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</si>
  <si>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</si>
  <si>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</si>
  <si>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</si>
  <si>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</si>
  <si>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</si>
  <si>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</si>
  <si>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</si>
  <si>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</si>
  <si>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</si>
  <si>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</si>
  <si>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</si>
  <si>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</si>
  <si>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</si>
  <si>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</si>
  <si>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</si>
  <si>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</si>
  <si>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</si>
  <si>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</si>
  <si>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</si>
  <si>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</si>
  <si>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</si>
  <si>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</si>
  <si>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</si>
  <si>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</si>
  <si>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</si>
  <si>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</si>
  <si>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</si>
  <si>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</si>
  <si>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</si>
  <si>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</si>
  <si>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</si>
  <si>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</si>
  <si>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</si>
  <si>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</si>
  <si>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</si>
  <si>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</si>
  <si>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</si>
  <si>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</si>
  <si>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</si>
  <si>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</si>
  <si>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</si>
  <si>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</si>
  <si>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</si>
  <si>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</si>
  <si>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</si>
  <si>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</si>
  <si>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</si>
  <si>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</si>
  <si>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</si>
  <si>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</si>
  <si>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</si>
  <si>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</si>
  <si>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</si>
  <si>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</si>
  <si>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</si>
  <si>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</si>
  <si>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</si>
  <si>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</si>
  <si>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</si>
  <si>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</si>
  <si>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</si>
  <si>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</si>
  <si>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</si>
  <si>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</si>
  <si>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</si>
  <si>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</si>
  <si>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</si>
  <si>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</si>
  <si>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</si>
  <si>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</si>
  <si>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</si>
  <si>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</si>
  <si>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</si>
  <si>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</si>
  <si>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</si>
  <si>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</si>
  <si>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</si>
  <si>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</si>
  <si>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</si>
  <si>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</si>
  <si>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</si>
  <si>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</si>
  <si>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</si>
  <si>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</si>
  <si>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</si>
  <si>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</si>
  <si>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</si>
  <si>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</si>
  <si>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</si>
  <si>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</si>
  <si>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</si>
  <si>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</si>
  <si>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</si>
  <si>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</si>
  <si>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</si>
  <si>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</si>
  <si>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</si>
  <si>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</si>
  <si>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</si>
  <si>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</si>
  <si>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</si>
  <si>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</si>
  <si>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</si>
  <si>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</si>
  <si>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</si>
  <si>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</si>
  <si>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</si>
  <si>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</si>
  <si>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</si>
  <si>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</si>
  <si>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</si>
  <si>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</si>
  <si>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</si>
  <si>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</si>
  <si>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</si>
  <si>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</si>
  <si>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</si>
  <si>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</si>
  <si>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</si>
  <si>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</si>
  <si>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</si>
  <si>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</si>
  <si>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</si>
  <si>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</si>
  <si>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</si>
  <si>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</si>
  <si>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</si>
  <si>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</si>
  <si>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</si>
  <si>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</si>
  <si>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</si>
  <si>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</si>
  <si>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</si>
  <si>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</si>
  <si>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</si>
  <si>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</si>
  <si>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</si>
  <si>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</si>
  <si>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</si>
  <si>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</si>
  <si>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</si>
  <si>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</si>
  <si>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</si>
  <si>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</si>
  <si>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</si>
  <si>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</si>
  <si>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</si>
  <si>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</si>
  <si>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</si>
  <si>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</si>
  <si>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</si>
  <si>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</si>
  <si>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</si>
  <si>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</si>
  <si>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</si>
  <si>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</si>
  <si>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</si>
  <si>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</si>
  <si>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</si>
  <si>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</si>
  <si>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</si>
  <si>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</si>
  <si>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</si>
  <si>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</si>
  <si>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</si>
  <si>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</si>
  <si>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</si>
  <si>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</si>
  <si>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</si>
  <si>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</si>
  <si>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</si>
  <si>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</si>
  <si>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</si>
  <si>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</si>
  <si>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</si>
  <si>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</si>
  <si>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</si>
  <si>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</si>
  <si>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</si>
  <si>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</si>
  <si>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</si>
  <si>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</si>
  <si>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</si>
  <si>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</si>
  <si>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</si>
  <si>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</si>
  <si>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</si>
  <si>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</si>
  <si>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</si>
  <si>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</si>
  <si>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</si>
  <si>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</si>
  <si>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</si>
  <si>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</si>
  <si>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</si>
  <si>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</si>
  <si>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</si>
  <si>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</si>
  <si>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</si>
  <si>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</si>
  <si>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</si>
  <si>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</si>
  <si>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</si>
  <si>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</si>
  <si>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</si>
  <si>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</si>
  <si>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</si>
  <si>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</si>
  <si>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</si>
  <si>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</si>
  <si>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</si>
  <si>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</si>
  <si>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</si>
  <si>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</si>
  <si>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</si>
  <si>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</si>
  <si>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</si>
  <si>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</si>
  <si>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</si>
  <si>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</si>
  <si>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</si>
  <si>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</si>
  <si>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</si>
  <si>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</si>
  <si>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</si>
  <si>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</si>
  <si>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</si>
  <si>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</si>
  <si>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</si>
  <si>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</si>
  <si>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</si>
  <si>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</si>
  <si>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</si>
  <si>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</si>
  <si>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</si>
  <si>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</si>
  <si>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</si>
  <si>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</si>
  <si>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</si>
  <si>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</si>
  <si>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</si>
  <si>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</si>
  <si>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</si>
  <si>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</si>
  <si>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</si>
  <si>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</si>
  <si>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</si>
  <si>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</si>
  <si>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</si>
  <si>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</si>
  <si>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</si>
  <si>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</si>
  <si>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</si>
  <si>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</si>
  <si>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</si>
  <si>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</si>
  <si>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</si>
  <si>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</si>
  <si>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</si>
  <si>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</si>
  <si>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</si>
  <si>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</si>
  <si>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</si>
  <si>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</si>
  <si>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</si>
  <si>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</si>
  <si>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</si>
  <si>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</si>
  <si>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 xml:space="preserve">Roast Type Name </t>
  </si>
  <si>
    <t>2019</t>
  </si>
  <si>
    <t>2020</t>
  </si>
  <si>
    <t>2021</t>
  </si>
  <si>
    <t>2022</t>
  </si>
  <si>
    <t>Jan</t>
  </si>
  <si>
    <t>Feb</t>
  </si>
  <si>
    <t>Mar</t>
  </si>
  <si>
    <t>Apr</t>
  </si>
  <si>
    <t>May</t>
  </si>
  <si>
    <t>Jun</t>
  </si>
  <si>
    <t>Jul</t>
  </si>
  <si>
    <t>Aug</t>
  </si>
  <si>
    <t>Sep</t>
  </si>
  <si>
    <t>Oct</t>
  </si>
  <si>
    <t>Nov</t>
  </si>
  <si>
    <t>Dec</t>
  </si>
  <si>
    <t>Years (Order Date)</t>
  </si>
  <si>
    <t>Months (Order Date)</t>
  </si>
  <si>
    <t>Liberica</t>
  </si>
  <si>
    <t>Sum of Sales</t>
  </si>
  <si>
    <t>Grand Total</t>
  </si>
  <si>
    <t>Sum of Profit</t>
  </si>
  <si>
    <t>Count of Order ID</t>
  </si>
  <si>
    <t>% of Total Sales</t>
  </si>
  <si>
    <t>Sum of Top 5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</si>
</sst>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0" fontId="0" fillId="0" borderId="0" xfId="0" applyNumberFormat="1"/>
    <xf numFmtId="9" fontId="0" fillId="0" borderId="0" xfId="0" applyNumberFormat="1"/>
    <xf numFmtId="0" fontId="0" fillId="0" borderId="0" xfId="0" applyNumberFormat="1"/>
    <xf numFmtId="167" fontId="1" fillId="0" borderId="0" xfId="0" applyNumberFormat="1" applyFont="1" applyAlignment="1">
      <alignment vertical="center"/>
    </xf>
    <xf numFmtId="4" fontId="0" fillId="0" borderId="0" xfId="0" applyNumberFormat="1"/>
  </cellXfs>
  <cellStyles count="1">
    <cellStyle name="Normal" xfId="0" builtinId="0"/>
  </cellStyles>
  <dxfs count="18">
    <dxf>
      <numFmt numFmtId="167" formatCode="_([$$-409]* #,##0.00_);_([$$-409]* \(#,##0.00\);_([$$-409]* &quot;-&quot;??_);_(@_)"/>
    </dxf>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ont>
        <b val="0"/>
        <i val="0"/>
        <sz val="12"/>
        <color theme="1" tint="0.499984740745262"/>
        <name val="Calibri"/>
        <family val="2"/>
        <charset val="238"/>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z val="14"/>
        <color theme="1" tint="0.24994659260841701"/>
        <name val="Calibri"/>
        <family val="2"/>
        <charset val="238"/>
        <scheme val="minor"/>
      </font>
    </dxf>
    <dxf>
      <font>
        <b val="0"/>
        <i val="0"/>
        <sz val="12"/>
        <name val="Calibri"/>
        <family val="2"/>
        <charset val="238"/>
        <scheme val="minor"/>
      </font>
      <fill>
        <patternFill patternType="solid">
          <fgColor theme="0"/>
          <bgColor rgb="FFF4F6F8"/>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z val="12"/>
        <name val="Calibri"/>
        <family val="2"/>
        <charset val="238"/>
        <scheme val="minor"/>
      </font>
      <fill>
        <patternFill>
          <bgColor rgb="FFF4F6F8"/>
        </patternFill>
      </fill>
      <border>
        <left style="thin">
          <color theme="0" tint="-0.14993743705557422"/>
        </left>
        <right style="thin">
          <color theme="0" tint="-0.14993743705557422"/>
        </right>
        <top style="thin">
          <color theme="0" tint="-0.14993743705557422"/>
        </top>
        <bottom style="thin">
          <color theme="0" tint="-0.14993743705557422"/>
        </bottom>
      </border>
    </dxf>
  </dxfs>
  <tableStyles count="3" defaultTableStyle="TableStyleMedium2" defaultPivotStyle="PivotStyleMedium9">
    <tableStyle name="ecommerce slicer" pivot="0" table="0" count="5" xr9:uid="{59006BCE-A559-4E1E-AEF3-CB1038CE8F5F}">
      <tableStyleElement type="wholeTable" dxfId="17"/>
    </tableStyle>
    <tableStyle name="Ecommerce Timeline " pivot="0" table="0" count="8" xr9:uid="{B3F21A4E-9B61-4E7F-9F05-FBC40CC0D960}">
      <tableStyleElement type="wholeTable" dxfId="16"/>
      <tableStyleElement type="headerRow" dxfId="15"/>
    </tableStyle>
    <tableStyle name="Timeline Style 1" pivot="0" table="0" count="8" xr9:uid="{AE60938D-BBA6-4C75-BC3E-E12A97C9392F}">
      <tableStyleElement type="wholeTable" dxfId="14"/>
      <tableStyleElement type="headerRow" dxfId="13"/>
    </tableStyle>
  </tableStyles>
  <colors>
    <mruColors>
      <color rgb="FFF4F6F8"/>
    </mruColors>
  </colors>
  <extLst>
    <ext xmlns:x14="http://schemas.microsoft.com/office/spreadsheetml/2009/9/main" uri="{46F421CA-312F-682f-3DD2-61675219B42D}">
      <x14:dxfs count="4">
        <dxf>
          <fill>
            <patternFill>
              <bgColor theme="0"/>
            </patternFill>
          </fill>
        </dxf>
        <dxf>
          <fill>
            <patternFill>
              <bgColor theme="0"/>
            </patternFill>
          </fill>
        </dxf>
        <dxf>
          <fill>
            <patternFill>
              <bgColor theme="0"/>
            </patternFill>
          </fill>
        </dxf>
        <dxf>
          <fill>
            <patternFill>
              <bgColor theme="4" tint="0.39994506668294322"/>
            </patternFill>
          </fill>
        </dxf>
      </x14:dxfs>
    </ext>
    <ext xmlns:x14="http://schemas.microsoft.com/office/spreadsheetml/2009/9/main" uri="{EB79DEF2-80B8-43e5-95BD-54CBDDF9020C}">
      <x14:slicerStyles defaultSlicerStyle="SlicerStyleLight1">
        <x14:slicerStyle name="ecommerce slicer">
          <x14:slicerStyleElements>
            <x14:slicerStyleElement type="selectedItemWithData" dxfId="3"/>
            <x14:slicerStyleElement type="hoveredUn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4" tint="0.39994506668294322"/>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line Style 1">
        <x15:timelineStyle name="Ecommerce Timeline ">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Profitability Dashboard – Coffee Roast Co..xlsx]Top 5 Customers!Total Sales</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Top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Davida Caro</c:v>
                </c:pt>
                <c:pt idx="1">
                  <c:v>Samuele Ales0</c:v>
                </c:pt>
                <c:pt idx="2">
                  <c:v>Nealson Cuttler</c:v>
                </c:pt>
                <c:pt idx="3">
                  <c:v>Lemuel Rignold</c:v>
                </c:pt>
                <c:pt idx="4">
                  <c:v>Alexa Sizey</c:v>
                </c:pt>
              </c:strCache>
            </c:strRef>
          </c:cat>
          <c:val>
            <c:numRef>
              <c:f>'Top 5 Customers'!$B$4:$B$9</c:f>
              <c:numCache>
                <c:formatCode>"$"#,##0</c:formatCode>
                <c:ptCount val="5"/>
                <c:pt idx="0">
                  <c:v>182.27499999999998</c:v>
                </c:pt>
                <c:pt idx="1">
                  <c:v>182.27499999999998</c:v>
                </c:pt>
                <c:pt idx="2">
                  <c:v>186.96499999999997</c:v>
                </c:pt>
                <c:pt idx="3">
                  <c:v>200.78999999999996</c:v>
                </c:pt>
                <c:pt idx="4">
                  <c:v>218.73</c:v>
                </c:pt>
              </c:numCache>
            </c:numRef>
          </c:val>
          <c:extLst>
            <c:ext xmlns:c16="http://schemas.microsoft.com/office/drawing/2014/chart" uri="{C3380CC4-5D6E-409C-BE32-E72D297353CC}">
              <c16:uniqueId val="{00000005-A0DA-4D22-9864-6025A398F504}"/>
            </c:ext>
          </c:extLst>
        </c:ser>
        <c:dLbls>
          <c:dLblPos val="outEnd"/>
          <c:showLegendKey val="0"/>
          <c:showVal val="1"/>
          <c:showCatName val="0"/>
          <c:showSerName val="0"/>
          <c:showPercent val="0"/>
          <c:showBubbleSize val="0"/>
        </c:dLbls>
        <c:gapWidth val="182"/>
        <c:axId val="1747879119"/>
        <c:axId val="1747880559"/>
      </c:barChart>
      <c:catAx>
        <c:axId val="174787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880559"/>
        <c:crosses val="autoZero"/>
        <c:auto val="1"/>
        <c:lblAlgn val="ctr"/>
        <c:lblOffset val="100"/>
        <c:noMultiLvlLbl val="0"/>
      </c:catAx>
      <c:valAx>
        <c:axId val="17478805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879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4F6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Profitability Dashboard – Coffee Roast Co..xlsx]Total Sales!Total 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Total Sales Over Time</a:t>
            </a:r>
            <a:r>
              <a:rPr lang="pl-PL"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Liberica</c:v>
                </c:pt>
              </c:strCache>
            </c:strRef>
          </c:tx>
          <c:spPr>
            <a:ln w="28575" cap="rnd">
              <a:solidFill>
                <a:schemeClr val="accent4"/>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Sales'!$C$5:$C$49</c:f>
              <c:numCache>
                <c:formatCode>#,##0.00</c:formatCode>
                <c:ptCount val="44"/>
                <c:pt idx="0">
                  <c:v>213.16</c:v>
                </c:pt>
                <c:pt idx="1">
                  <c:v>434.03999999999996</c:v>
                </c:pt>
                <c:pt idx="2">
                  <c:v>321.03999999999996</c:v>
                </c:pt>
                <c:pt idx="3">
                  <c:v>533.70499999999993</c:v>
                </c:pt>
                <c:pt idx="4">
                  <c:v>193.83499999999998</c:v>
                </c:pt>
                <c:pt idx="5">
                  <c:v>171.04499999999999</c:v>
                </c:pt>
                <c:pt idx="6">
                  <c:v>184.13</c:v>
                </c:pt>
                <c:pt idx="7">
                  <c:v>134.23000000000002</c:v>
                </c:pt>
                <c:pt idx="8">
                  <c:v>439.30999999999995</c:v>
                </c:pt>
                <c:pt idx="9">
                  <c:v>215.55499999999998</c:v>
                </c:pt>
                <c:pt idx="10">
                  <c:v>350.89499999999992</c:v>
                </c:pt>
                <c:pt idx="11">
                  <c:v>187.06</c:v>
                </c:pt>
                <c:pt idx="12">
                  <c:v>274.67500000000001</c:v>
                </c:pt>
                <c:pt idx="13">
                  <c:v>194.17499999999998</c:v>
                </c:pt>
                <c:pt idx="14">
                  <c:v>281.20499999999998</c:v>
                </c:pt>
                <c:pt idx="15">
                  <c:v>147.51000000000002</c:v>
                </c:pt>
                <c:pt idx="16">
                  <c:v>83.429999999999993</c:v>
                </c:pt>
                <c:pt idx="17">
                  <c:v>355.33999999999992</c:v>
                </c:pt>
                <c:pt idx="18">
                  <c:v>236.315</c:v>
                </c:pt>
                <c:pt idx="19">
                  <c:v>60.5</c:v>
                </c:pt>
                <c:pt idx="20">
                  <c:v>89.13</c:v>
                </c:pt>
                <c:pt idx="21">
                  <c:v>440.96499999999992</c:v>
                </c:pt>
                <c:pt idx="22">
                  <c:v>347.03999999999996</c:v>
                </c:pt>
                <c:pt idx="23">
                  <c:v>94.17</c:v>
                </c:pt>
                <c:pt idx="24">
                  <c:v>279.52</c:v>
                </c:pt>
                <c:pt idx="25">
                  <c:v>251.83</c:v>
                </c:pt>
                <c:pt idx="26">
                  <c:v>405.05500000000001</c:v>
                </c:pt>
                <c:pt idx="27">
                  <c:v>554.875</c:v>
                </c:pt>
                <c:pt idx="28">
                  <c:v>267.2</c:v>
                </c:pt>
                <c:pt idx="29">
                  <c:v>209.59999999999997</c:v>
                </c:pt>
                <c:pt idx="30">
                  <c:v>61.034999999999997</c:v>
                </c:pt>
                <c:pt idx="31">
                  <c:v>125.58</c:v>
                </c:pt>
                <c:pt idx="32">
                  <c:v>171.33</c:v>
                </c:pt>
                <c:pt idx="33">
                  <c:v>584.64</c:v>
                </c:pt>
                <c:pt idx="34">
                  <c:v>537.81000000000006</c:v>
                </c:pt>
                <c:pt idx="35">
                  <c:v>388.22</c:v>
                </c:pt>
                <c:pt idx="36">
                  <c:v>843.7149999999998</c:v>
                </c:pt>
                <c:pt idx="37">
                  <c:v>91.175000000000011</c:v>
                </c:pt>
                <c:pt idx="38">
                  <c:v>462.50999999999993</c:v>
                </c:pt>
                <c:pt idx="39">
                  <c:v>88.545000000000002</c:v>
                </c:pt>
                <c:pt idx="40">
                  <c:v>292.28999999999996</c:v>
                </c:pt>
                <c:pt idx="41">
                  <c:v>170.08999999999997</c:v>
                </c:pt>
                <c:pt idx="42">
                  <c:v>271.05500000000001</c:v>
                </c:pt>
                <c:pt idx="43">
                  <c:v>15.54</c:v>
                </c:pt>
              </c:numCache>
            </c:numRef>
          </c:val>
          <c:smooth val="0"/>
          <c:extLst>
            <c:ext xmlns:c16="http://schemas.microsoft.com/office/drawing/2014/chart" uri="{C3380CC4-5D6E-409C-BE32-E72D297353CC}">
              <c16:uniqueId val="{00000007-D699-4358-AA38-CD24B9162CC0}"/>
            </c:ext>
          </c:extLst>
        </c:ser>
        <c:dLbls>
          <c:showLegendKey val="0"/>
          <c:showVal val="0"/>
          <c:showCatName val="0"/>
          <c:showSerName val="0"/>
          <c:showPercent val="0"/>
          <c:showBubbleSize val="0"/>
        </c:dLbls>
        <c:smooth val="0"/>
        <c:axId val="1350411247"/>
        <c:axId val="1350411727"/>
      </c:lineChart>
      <c:catAx>
        <c:axId val="135041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11727"/>
        <c:crosses val="autoZero"/>
        <c:auto val="1"/>
        <c:lblAlgn val="ctr"/>
        <c:lblOffset val="100"/>
        <c:noMultiLvlLbl val="0"/>
      </c:catAx>
      <c:valAx>
        <c:axId val="1350411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pl-PL"/>
                  <a:t>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11247"/>
        <c:crosses val="autoZero"/>
        <c:crossBetween val="between"/>
      </c:valAx>
      <c:spPr>
        <a:solidFill>
          <a:srgbClr val="F4F6F8"/>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4F6F8"/>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Profitability Dashboard – Coffee Roast Co..xlsx]CountryBarChart!Total Sales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Sales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0.00%</c:formatCode>
                <c:ptCount val="3"/>
                <c:pt idx="0">
                  <c:v>7.2767508083366003E-2</c:v>
                </c:pt>
                <c:pt idx="1">
                  <c:v>0.17973880202338216</c:v>
                </c:pt>
                <c:pt idx="2">
                  <c:v>0.74749368989325193</c:v>
                </c:pt>
              </c:numCache>
            </c:numRef>
          </c:val>
          <c:extLst>
            <c:ext xmlns:c16="http://schemas.microsoft.com/office/drawing/2014/chart" uri="{C3380CC4-5D6E-409C-BE32-E72D297353CC}">
              <c16:uniqueId val="{00000005-A66B-4A95-8372-DB85024B9311}"/>
            </c:ext>
          </c:extLst>
        </c:ser>
        <c:dLbls>
          <c:dLblPos val="outEnd"/>
          <c:showLegendKey val="0"/>
          <c:showVal val="1"/>
          <c:showCatName val="0"/>
          <c:showSerName val="0"/>
          <c:showPercent val="0"/>
          <c:showBubbleSize val="0"/>
        </c:dLbls>
        <c:gapWidth val="182"/>
        <c:axId val="1747879119"/>
        <c:axId val="1747880559"/>
      </c:barChart>
      <c:catAx>
        <c:axId val="174787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880559"/>
        <c:crosses val="autoZero"/>
        <c:auto val="1"/>
        <c:lblAlgn val="ctr"/>
        <c:lblOffset val="100"/>
        <c:noMultiLvlLbl val="0"/>
      </c:catAx>
      <c:valAx>
        <c:axId val="1747880559"/>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879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4F6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108856</xdr:colOff>
      <xdr:row>5</xdr:row>
      <xdr:rowOff>173935</xdr:rowOff>
    </xdr:from>
    <xdr:to>
      <xdr:col>17</xdr:col>
      <xdr:colOff>2720</xdr:colOff>
      <xdr:row>12</xdr:row>
      <xdr:rowOff>0</xdr:rowOff>
    </xdr:to>
    <xdr:sp macro="" textlink="">
      <xdr:nvSpPr>
        <xdr:cNvPr id="41" name="Rectangle 40">
          <a:extLst>
            <a:ext uri="{FF2B5EF4-FFF2-40B4-BE49-F238E27FC236}">
              <a16:creationId xmlns:a16="http://schemas.microsoft.com/office/drawing/2014/main" id="{9090419D-2D36-4FDC-8A87-A9785568004B}"/>
            </a:ext>
          </a:extLst>
        </xdr:cNvPr>
        <xdr:cNvSpPr/>
      </xdr:nvSpPr>
      <xdr:spPr>
        <a:xfrm flipH="1">
          <a:off x="108856" y="1059760"/>
          <a:ext cx="9761764" cy="1159565"/>
        </a:xfrm>
        <a:prstGeom prst="rect">
          <a:avLst/>
        </a:prstGeom>
        <a:solidFill>
          <a:srgbClr val="F4F6F8"/>
        </a:solidFill>
        <a:ln w="3175">
          <a:solidFill>
            <a:schemeClr val="bg1">
              <a:lumMod val="85000"/>
            </a:schemeClr>
          </a:solidFill>
          <a:extLst>
            <a:ext uri="{C807C97D-BFC1-408E-A445-0C87EB9F89A2}">
              <ask:lineSketchStyleProps xmlns:ask="http://schemas.microsoft.com/office/drawing/2018/sketchyshapes">
                <ask:type>
                  <ask:lineSketchNone/>
                </ask:type>
              </ask:lineSketchStyleProps>
            </a:ext>
          </a:extLst>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300">
            <a:solidFill>
              <a:schemeClr val="tx1">
                <a:lumMod val="95000"/>
                <a:lumOff val="5000"/>
              </a:schemeClr>
            </a:solidFill>
          </a:endParaRPr>
        </a:p>
      </xdr:txBody>
    </xdr:sp>
    <xdr:clientData/>
  </xdr:twoCellAnchor>
  <xdr:twoCellAnchor>
    <xdr:from>
      <xdr:col>7</xdr:col>
      <xdr:colOff>0</xdr:colOff>
      <xdr:row>5</xdr:row>
      <xdr:rowOff>173935</xdr:rowOff>
    </xdr:from>
    <xdr:to>
      <xdr:col>10</xdr:col>
      <xdr:colOff>2</xdr:colOff>
      <xdr:row>9</xdr:row>
      <xdr:rowOff>0</xdr:rowOff>
    </xdr:to>
    <xdr:sp macro="" textlink="">
      <xdr:nvSpPr>
        <xdr:cNvPr id="23" name="Rectangle 22">
          <a:extLst>
            <a:ext uri="{FF2B5EF4-FFF2-40B4-BE49-F238E27FC236}">
              <a16:creationId xmlns:a16="http://schemas.microsoft.com/office/drawing/2014/main" id="{BA71EF7E-6409-E712-07C3-1F443AE17293}"/>
            </a:ext>
          </a:extLst>
        </xdr:cNvPr>
        <xdr:cNvSpPr/>
      </xdr:nvSpPr>
      <xdr:spPr>
        <a:xfrm flipH="1">
          <a:off x="4000500" y="1059760"/>
          <a:ext cx="1943102" cy="588065"/>
        </a:xfrm>
        <a:prstGeom prst="rect">
          <a:avLst/>
        </a:prstGeom>
        <a:solidFill>
          <a:srgbClr val="F4F6F8"/>
        </a:solidFill>
        <a:ln w="3175">
          <a:noFill/>
          <a:extLst>
            <a:ext uri="{C807C97D-BFC1-408E-A445-0C87EB9F89A2}">
              <ask:lineSketchStyleProps xmlns:ask="http://schemas.microsoft.com/office/drawing/2018/sketchyshapes">
                <ask:type>
                  <ask:lineSketchNone/>
                </ask:type>
              </ask:lineSketchStyleProps>
            </a:ext>
          </a:extLst>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aseline="0">
              <a:solidFill>
                <a:schemeClr val="tx1">
                  <a:lumMod val="75000"/>
                  <a:lumOff val="25000"/>
                </a:schemeClr>
              </a:solidFill>
            </a:rPr>
            <a:t>Total</a:t>
          </a:r>
          <a:r>
            <a:rPr lang="pl-PL" sz="1300" baseline="0">
              <a:solidFill>
                <a:schemeClr val="tx1">
                  <a:lumMod val="75000"/>
                  <a:lumOff val="25000"/>
                </a:schemeClr>
              </a:solidFill>
            </a:rPr>
            <a:t> Profit</a:t>
          </a:r>
          <a:endParaRPr lang="en-US" sz="1300">
            <a:solidFill>
              <a:schemeClr val="tx1">
                <a:lumMod val="75000"/>
                <a:lumOff val="25000"/>
              </a:schemeClr>
            </a:solidFill>
          </a:endParaRPr>
        </a:p>
      </xdr:txBody>
    </xdr:sp>
    <xdr:clientData/>
  </xdr:twoCellAnchor>
  <xdr:twoCellAnchor>
    <xdr:from>
      <xdr:col>4</xdr:col>
      <xdr:colOff>5791</xdr:colOff>
      <xdr:row>6</xdr:row>
      <xdr:rowOff>0</xdr:rowOff>
    </xdr:from>
    <xdr:to>
      <xdr:col>7</xdr:col>
      <xdr:colOff>5792</xdr:colOff>
      <xdr:row>9</xdr:row>
      <xdr:rowOff>16565</xdr:rowOff>
    </xdr:to>
    <xdr:sp macro="" textlink="">
      <xdr:nvSpPr>
        <xdr:cNvPr id="21" name="Rectangle 20">
          <a:extLst>
            <a:ext uri="{FF2B5EF4-FFF2-40B4-BE49-F238E27FC236}">
              <a16:creationId xmlns:a16="http://schemas.microsoft.com/office/drawing/2014/main" id="{7CA60A68-4CCA-A815-1394-38BAEB57AA74}"/>
            </a:ext>
          </a:extLst>
        </xdr:cNvPr>
        <xdr:cNvSpPr/>
      </xdr:nvSpPr>
      <xdr:spPr>
        <a:xfrm flipH="1">
          <a:off x="2063191" y="1076325"/>
          <a:ext cx="1943101" cy="588065"/>
        </a:xfrm>
        <a:prstGeom prst="rect">
          <a:avLst/>
        </a:prstGeom>
        <a:solidFill>
          <a:srgbClr val="F4F6F8"/>
        </a:solidFill>
        <a:ln w="3175">
          <a:noFill/>
          <a:extLst>
            <a:ext uri="{C807C97D-BFC1-408E-A445-0C87EB9F89A2}">
              <ask:lineSketchStyleProps xmlns:ask="http://schemas.microsoft.com/office/drawing/2018/sketchyshapes">
                <ask:type>
                  <ask:lineSketchNone/>
                </ask:type>
              </ask:lineSketchStyleProps>
            </a:ext>
          </a:extLst>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a:solidFill>
                <a:schemeClr val="tx1">
                  <a:lumMod val="75000"/>
                  <a:lumOff val="25000"/>
                </a:schemeClr>
              </a:solidFill>
            </a:rPr>
            <a:t>Segment </a:t>
          </a:r>
          <a:r>
            <a:rPr lang="pl-PL" sz="1300">
              <a:solidFill>
                <a:schemeClr val="tx1">
                  <a:lumMod val="75000"/>
                  <a:lumOff val="25000"/>
                </a:schemeClr>
              </a:solidFill>
            </a:rPr>
            <a:t>Revenue</a:t>
          </a:r>
          <a:endParaRPr lang="en-US" sz="1300">
            <a:solidFill>
              <a:schemeClr val="tx1">
                <a:lumMod val="75000"/>
                <a:lumOff val="25000"/>
              </a:schemeClr>
            </a:solidFill>
          </a:endParaRPr>
        </a:p>
        <a:p>
          <a:pPr algn="ctr"/>
          <a:r>
            <a:rPr lang="en-US" sz="1300">
              <a:solidFill>
                <a:schemeClr val="tx1">
                  <a:lumMod val="75000"/>
                  <a:lumOff val="25000"/>
                </a:schemeClr>
              </a:solidFill>
            </a:rPr>
            <a:t>(% of Total Revenue)</a:t>
          </a:r>
        </a:p>
      </xdr:txBody>
    </xdr:sp>
    <xdr:clientData/>
  </xdr:twoCellAnchor>
  <xdr:twoCellAnchor>
    <xdr:from>
      <xdr:col>17</xdr:col>
      <xdr:colOff>0</xdr:colOff>
      <xdr:row>30</xdr:row>
      <xdr:rowOff>0</xdr:rowOff>
    </xdr:from>
    <xdr:to>
      <xdr:col>29</xdr:col>
      <xdr:colOff>0</xdr:colOff>
      <xdr:row>45</xdr:row>
      <xdr:rowOff>0</xdr:rowOff>
    </xdr:to>
    <xdr:graphicFrame macro="">
      <xdr:nvGraphicFramePr>
        <xdr:cNvPr id="2" name="Chart 1">
          <a:extLst>
            <a:ext uri="{FF2B5EF4-FFF2-40B4-BE49-F238E27FC236}">
              <a16:creationId xmlns:a16="http://schemas.microsoft.com/office/drawing/2014/main" id="{9105B8DC-BA88-4420-A08E-0744AD355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6</xdr:row>
      <xdr:rowOff>0</xdr:rowOff>
    </xdr:from>
    <xdr:to>
      <xdr:col>29</xdr:col>
      <xdr:colOff>0</xdr:colOff>
      <xdr:row>10</xdr:row>
      <xdr:rowOff>0</xdr:rowOff>
    </xdr:to>
    <mc:AlternateContent xmlns:mc="http://schemas.openxmlformats.org/markup-compatibility/2006" xmlns:a14="http://schemas.microsoft.com/office/drawing/2010/main">
      <mc:Choice Requires="a14">
        <xdr:graphicFrame macro="">
          <xdr:nvGraphicFramePr>
            <xdr:cNvPr id="6" name="Roast Type Name ">
              <a:extLst>
                <a:ext uri="{FF2B5EF4-FFF2-40B4-BE49-F238E27FC236}">
                  <a16:creationId xmlns:a16="http://schemas.microsoft.com/office/drawing/2014/main" id="{AB85A226-B32D-4E88-9D1B-8186ADD7A888}"/>
                </a:ext>
              </a:extLst>
            </xdr:cNvPr>
            <xdr:cNvGraphicFramePr/>
          </xdr:nvGraphicFramePr>
          <xdr:xfrm>
            <a:off x="0" y="0"/>
            <a:ext cx="0" cy="0"/>
          </xdr:xfrm>
          <a:graphic>
            <a:graphicData uri="http://schemas.microsoft.com/office/drawing/2010/slicer">
              <sle:slicer xmlns:sle="http://schemas.microsoft.com/office/drawing/2010/slicer" name="Roast Type Name "/>
            </a:graphicData>
          </a:graphic>
        </xdr:graphicFrame>
      </mc:Choice>
      <mc:Fallback xmlns="">
        <xdr:sp macro="" textlink="">
          <xdr:nvSpPr>
            <xdr:cNvPr id="0" name=""/>
            <xdr:cNvSpPr>
              <a:spLocks noTextEdit="1"/>
            </xdr:cNvSpPr>
          </xdr:nvSpPr>
          <xdr:spPr>
            <a:xfrm>
              <a:off x="9356481" y="1077058"/>
              <a:ext cx="7297615"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10</xdr:row>
      <xdr:rowOff>0</xdr:rowOff>
    </xdr:from>
    <xdr:to>
      <xdr:col>29</xdr:col>
      <xdr:colOff>0</xdr:colOff>
      <xdr:row>15</xdr:row>
      <xdr:rowOff>0</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9E871676-2FE8-4BB0-9573-A566A96E050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4221558" y="1839058"/>
              <a:ext cx="2432538"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10</xdr:row>
      <xdr:rowOff>0</xdr:rowOff>
    </xdr:from>
    <xdr:to>
      <xdr:col>25</xdr:col>
      <xdr:colOff>0</xdr:colOff>
      <xdr:row>15</xdr:row>
      <xdr:rowOff>0</xdr:rowOff>
    </xdr:to>
    <mc:AlternateContent xmlns:mc="http://schemas.openxmlformats.org/markup-compatibility/2006" xmlns:a14="http://schemas.microsoft.com/office/drawing/2010/main">
      <mc:Choice Requires="a14">
        <xdr:graphicFrame macro="">
          <xdr:nvGraphicFramePr>
            <xdr:cNvPr id="11" name="Coffe Type Name">
              <a:extLst>
                <a:ext uri="{FF2B5EF4-FFF2-40B4-BE49-F238E27FC236}">
                  <a16:creationId xmlns:a16="http://schemas.microsoft.com/office/drawing/2014/main" id="{250FDE18-B081-44F6-94F4-539B1CB0FDD6}"/>
                </a:ext>
              </a:extLst>
            </xdr:cNvPr>
            <xdr:cNvGraphicFramePr/>
          </xdr:nvGraphicFramePr>
          <xdr:xfrm>
            <a:off x="0" y="0"/>
            <a:ext cx="0" cy="0"/>
          </xdr:xfrm>
          <a:graphic>
            <a:graphicData uri="http://schemas.microsoft.com/office/drawing/2010/slicer">
              <sle:slicer xmlns:sle="http://schemas.microsoft.com/office/drawing/2010/slicer" name="Coffe Type Name"/>
            </a:graphicData>
          </a:graphic>
        </xdr:graphicFrame>
      </mc:Choice>
      <mc:Fallback xmlns="">
        <xdr:sp macro="" textlink="">
          <xdr:nvSpPr>
            <xdr:cNvPr id="0" name=""/>
            <xdr:cNvSpPr>
              <a:spLocks noTextEdit="1"/>
            </xdr:cNvSpPr>
          </xdr:nvSpPr>
          <xdr:spPr>
            <a:xfrm>
              <a:off x="11789019" y="1839058"/>
              <a:ext cx="2432539"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9</xdr:row>
      <xdr:rowOff>0</xdr:rowOff>
    </xdr:from>
    <xdr:to>
      <xdr:col>7</xdr:col>
      <xdr:colOff>2101</xdr:colOff>
      <xdr:row>12</xdr:row>
      <xdr:rowOff>0</xdr:rowOff>
    </xdr:to>
    <xdr:sp macro="" textlink="'Total Sales'!$B$55">
      <xdr:nvSpPr>
        <xdr:cNvPr id="20" name="Rectangle: Rounded Corners 19">
          <a:extLst>
            <a:ext uri="{FF2B5EF4-FFF2-40B4-BE49-F238E27FC236}">
              <a16:creationId xmlns:a16="http://schemas.microsoft.com/office/drawing/2014/main" id="{DB2A0BE1-D839-1992-E8B7-9D4D8ACDD629}"/>
            </a:ext>
          </a:extLst>
        </xdr:cNvPr>
        <xdr:cNvSpPr/>
      </xdr:nvSpPr>
      <xdr:spPr>
        <a:xfrm>
          <a:off x="1943100" y="1647825"/>
          <a:ext cx="1830901" cy="571500"/>
        </a:xfrm>
        <a:prstGeom prst="roundRect">
          <a:avLst/>
        </a:prstGeom>
        <a:solidFill>
          <a:schemeClr val="accent1">
            <a:lumMod val="60000"/>
            <a:lumOff val="40000"/>
          </a:schemeClr>
        </a:solidFill>
        <a:ln w="3175">
          <a:solidFill>
            <a:srgbClr val="F4F6F8"/>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0948895-2E81-45B8-83CC-FA91BAA3F713}" type="TxLink">
            <a:rPr lang="en-US" sz="1600" b="0" i="0" u="none" strike="noStrike">
              <a:solidFill>
                <a:srgbClr val="000000"/>
              </a:solidFill>
              <a:latin typeface="Calibri"/>
              <a:ea typeface="Calibri"/>
              <a:cs typeface="Calibri"/>
            </a:rPr>
            <a:pPr algn="ctr"/>
            <a:t>27%</a:t>
          </a:fld>
          <a:endParaRPr lang="en-US" sz="1600">
            <a:solidFill>
              <a:schemeClr val="tx1">
                <a:lumMod val="95000"/>
                <a:lumOff val="5000"/>
              </a:schemeClr>
            </a:solidFill>
          </a:endParaRPr>
        </a:p>
      </xdr:txBody>
    </xdr:sp>
    <xdr:clientData/>
  </xdr:twoCellAnchor>
  <xdr:twoCellAnchor>
    <xdr:from>
      <xdr:col>6</xdr:col>
      <xdr:colOff>609599</xdr:colOff>
      <xdr:row>9</xdr:row>
      <xdr:rowOff>0</xdr:rowOff>
    </xdr:from>
    <xdr:to>
      <xdr:col>10</xdr:col>
      <xdr:colOff>2100</xdr:colOff>
      <xdr:row>12</xdr:row>
      <xdr:rowOff>0</xdr:rowOff>
    </xdr:to>
    <xdr:sp macro="" textlink="'Total Profit'!$B$8">
      <xdr:nvSpPr>
        <xdr:cNvPr id="24" name="Rectangle: Rounded Corners 23">
          <a:extLst>
            <a:ext uri="{FF2B5EF4-FFF2-40B4-BE49-F238E27FC236}">
              <a16:creationId xmlns:a16="http://schemas.microsoft.com/office/drawing/2014/main" id="{96A1A0D2-B0DB-F003-0A2A-44AD3E37C10F}"/>
            </a:ext>
          </a:extLst>
        </xdr:cNvPr>
        <xdr:cNvSpPr/>
      </xdr:nvSpPr>
      <xdr:spPr>
        <a:xfrm>
          <a:off x="3771899" y="1647825"/>
          <a:ext cx="1830901" cy="571500"/>
        </a:xfrm>
        <a:prstGeom prst="roundRect">
          <a:avLst/>
        </a:prstGeom>
        <a:solidFill>
          <a:schemeClr val="accent1">
            <a:lumMod val="60000"/>
            <a:lumOff val="40000"/>
          </a:schemeClr>
        </a:solidFill>
        <a:ln w="3175">
          <a:solidFill>
            <a:srgbClr val="F4F6F8"/>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C019695-7239-4A6B-A3E0-DBC3EBD0EDF7}" type="TxLink">
            <a:rPr lang="en-US" sz="1600" b="0" i="0" u="none" strike="noStrike">
              <a:solidFill>
                <a:schemeClr val="tx1">
                  <a:lumMod val="95000"/>
                  <a:lumOff val="5000"/>
                </a:schemeClr>
              </a:solidFill>
              <a:latin typeface="Calibri"/>
              <a:ea typeface="Calibri"/>
              <a:cs typeface="Calibri"/>
            </a:rPr>
            <a:pPr algn="ctr"/>
            <a:t>$4,520</a:t>
          </a:fld>
          <a:endParaRPr lang="en-US" sz="1600" b="0">
            <a:solidFill>
              <a:schemeClr val="tx1">
                <a:lumMod val="95000"/>
                <a:lumOff val="5000"/>
              </a:schemeClr>
            </a:solidFill>
          </a:endParaRPr>
        </a:p>
      </xdr:txBody>
    </xdr:sp>
    <xdr:clientData/>
  </xdr:twoCellAnchor>
  <xdr:twoCellAnchor>
    <xdr:from>
      <xdr:col>13</xdr:col>
      <xdr:colOff>2718</xdr:colOff>
      <xdr:row>6</xdr:row>
      <xdr:rowOff>0</xdr:rowOff>
    </xdr:from>
    <xdr:to>
      <xdr:col>15</xdr:col>
      <xdr:colOff>609599</xdr:colOff>
      <xdr:row>9</xdr:row>
      <xdr:rowOff>0</xdr:rowOff>
    </xdr:to>
    <xdr:sp macro="" textlink="">
      <xdr:nvSpPr>
        <xdr:cNvPr id="25" name="Rectangle 24">
          <a:extLst>
            <a:ext uri="{FF2B5EF4-FFF2-40B4-BE49-F238E27FC236}">
              <a16:creationId xmlns:a16="http://schemas.microsoft.com/office/drawing/2014/main" id="{91ED01FC-EEA9-89DB-5CCF-9F0C029E5EA2}"/>
            </a:ext>
          </a:extLst>
        </xdr:cNvPr>
        <xdr:cNvSpPr/>
      </xdr:nvSpPr>
      <xdr:spPr>
        <a:xfrm flipH="1">
          <a:off x="7432218" y="1076325"/>
          <a:ext cx="1826081" cy="571500"/>
        </a:xfrm>
        <a:prstGeom prst="rect">
          <a:avLst/>
        </a:prstGeom>
        <a:solidFill>
          <a:srgbClr val="F4F6F8"/>
        </a:solidFill>
        <a:ln w="3175">
          <a:noFill/>
          <a:extLst>
            <a:ext uri="{C807C97D-BFC1-408E-A445-0C87EB9F89A2}">
              <ask:lineSketchStyleProps xmlns:ask="http://schemas.microsoft.com/office/drawing/2018/sketchyshapes">
                <ask:type>
                  <ask:lineSketchNone/>
                </ask:type>
              </ask:lineSketchStyleProps>
            </a:ext>
          </a:extLst>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a:solidFill>
                <a:schemeClr val="tx1">
                  <a:lumMod val="75000"/>
                  <a:lumOff val="25000"/>
                </a:schemeClr>
              </a:solidFill>
            </a:rPr>
            <a:t>Segment </a:t>
          </a:r>
          <a:r>
            <a:rPr lang="pl-PL" sz="1300">
              <a:solidFill>
                <a:schemeClr val="tx1">
                  <a:lumMod val="75000"/>
                  <a:lumOff val="25000"/>
                </a:schemeClr>
              </a:solidFill>
            </a:rPr>
            <a:t>Orders</a:t>
          </a:r>
        </a:p>
        <a:p>
          <a:pPr algn="ctr"/>
          <a:r>
            <a:rPr lang="en-US" sz="1300" b="0" i="0">
              <a:solidFill>
                <a:schemeClr val="tx1">
                  <a:lumMod val="75000"/>
                  <a:lumOff val="25000"/>
                </a:schemeClr>
              </a:solidFill>
              <a:effectLst/>
              <a:latin typeface="+mn-lt"/>
              <a:ea typeface="+mn-ea"/>
              <a:cs typeface="+mn-cs"/>
            </a:rPr>
            <a:t>(% of Total </a:t>
          </a:r>
          <a:r>
            <a:rPr lang="pl-PL" sz="1300" b="0" i="0">
              <a:solidFill>
                <a:schemeClr val="tx1">
                  <a:lumMod val="75000"/>
                  <a:lumOff val="25000"/>
                </a:schemeClr>
              </a:solidFill>
              <a:effectLst/>
              <a:latin typeface="+mn-lt"/>
              <a:ea typeface="+mn-ea"/>
              <a:cs typeface="+mn-cs"/>
            </a:rPr>
            <a:t>Orders</a:t>
          </a:r>
          <a:r>
            <a:rPr lang="en-US" sz="1300" b="0" i="0">
              <a:solidFill>
                <a:schemeClr val="tx1">
                  <a:lumMod val="75000"/>
                  <a:lumOff val="25000"/>
                </a:schemeClr>
              </a:solidFill>
              <a:effectLst/>
              <a:latin typeface="+mn-lt"/>
              <a:ea typeface="+mn-ea"/>
              <a:cs typeface="+mn-cs"/>
            </a:rPr>
            <a:t>)</a:t>
          </a:r>
          <a:endParaRPr lang="en-US" sz="1300">
            <a:solidFill>
              <a:schemeClr val="tx1">
                <a:lumMod val="75000"/>
                <a:lumOff val="25000"/>
              </a:schemeClr>
            </a:solidFill>
            <a:effectLst/>
          </a:endParaRPr>
        </a:p>
      </xdr:txBody>
    </xdr:sp>
    <xdr:clientData/>
  </xdr:twoCellAnchor>
  <xdr:twoCellAnchor>
    <xdr:from>
      <xdr:col>13</xdr:col>
      <xdr:colOff>4106</xdr:colOff>
      <xdr:row>9</xdr:row>
      <xdr:rowOff>0</xdr:rowOff>
    </xdr:from>
    <xdr:to>
      <xdr:col>16</xdr:col>
      <xdr:colOff>6208</xdr:colOff>
      <xdr:row>12</xdr:row>
      <xdr:rowOff>0</xdr:rowOff>
    </xdr:to>
    <xdr:sp macro="" textlink="'Total Orders'!$D$6">
      <xdr:nvSpPr>
        <xdr:cNvPr id="26" name="Rectangle: Rounded Corners 25">
          <a:extLst>
            <a:ext uri="{FF2B5EF4-FFF2-40B4-BE49-F238E27FC236}">
              <a16:creationId xmlns:a16="http://schemas.microsoft.com/office/drawing/2014/main" id="{7ED11B08-226C-A72F-8EAE-CB7DD8385797}"/>
            </a:ext>
          </a:extLst>
        </xdr:cNvPr>
        <xdr:cNvSpPr/>
      </xdr:nvSpPr>
      <xdr:spPr>
        <a:xfrm>
          <a:off x="7433606" y="1647825"/>
          <a:ext cx="1830902" cy="571500"/>
        </a:xfrm>
        <a:prstGeom prst="roundRect">
          <a:avLst/>
        </a:prstGeom>
        <a:solidFill>
          <a:schemeClr val="accent1">
            <a:lumMod val="60000"/>
            <a:lumOff val="40000"/>
          </a:schemeClr>
        </a:solidFill>
        <a:ln w="3175">
          <a:solidFill>
            <a:srgbClr val="F4F6F8"/>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260EC2C-405F-43A3-AA21-E36B25CF40BE}" type="TxLink">
            <a:rPr lang="en-US" sz="1600" b="0" i="0" u="none" strike="noStrike">
              <a:solidFill>
                <a:srgbClr val="000000"/>
              </a:solidFill>
              <a:latin typeface="Calibri"/>
              <a:ea typeface="Calibri"/>
              <a:cs typeface="Calibri"/>
            </a:rPr>
            <a:pPr algn="ctr"/>
            <a:t>25%</a:t>
          </a:fld>
          <a:endParaRPr lang="en-US" sz="1600" b="0" i="0" u="none" strike="noStrike">
            <a:solidFill>
              <a:schemeClr val="tx1">
                <a:lumMod val="95000"/>
                <a:lumOff val="5000"/>
              </a:schemeClr>
            </a:solidFill>
            <a:latin typeface="Calibri"/>
            <a:ea typeface="Calibri"/>
            <a:cs typeface="Calibri"/>
          </a:endParaRPr>
        </a:p>
      </xdr:txBody>
    </xdr:sp>
    <xdr:clientData/>
  </xdr:twoCellAnchor>
  <xdr:twoCellAnchor>
    <xdr:from>
      <xdr:col>1</xdr:col>
      <xdr:colOff>5791</xdr:colOff>
      <xdr:row>5</xdr:row>
      <xdr:rowOff>173935</xdr:rowOff>
    </xdr:from>
    <xdr:to>
      <xdr:col>4</xdr:col>
      <xdr:colOff>5793</xdr:colOff>
      <xdr:row>9</xdr:row>
      <xdr:rowOff>0</xdr:rowOff>
    </xdr:to>
    <xdr:sp macro="" textlink="">
      <xdr:nvSpPr>
        <xdr:cNvPr id="31" name="Rectangle 30">
          <a:extLst>
            <a:ext uri="{FF2B5EF4-FFF2-40B4-BE49-F238E27FC236}">
              <a16:creationId xmlns:a16="http://schemas.microsoft.com/office/drawing/2014/main" id="{907E01FF-48B6-CDD8-B8C4-599137AB2F87}"/>
            </a:ext>
          </a:extLst>
        </xdr:cNvPr>
        <xdr:cNvSpPr/>
      </xdr:nvSpPr>
      <xdr:spPr>
        <a:xfrm flipH="1">
          <a:off x="120091" y="1059760"/>
          <a:ext cx="1943102" cy="588065"/>
        </a:xfrm>
        <a:prstGeom prst="rect">
          <a:avLst/>
        </a:prstGeom>
        <a:solidFill>
          <a:srgbClr val="F4F6F8"/>
        </a:solidFill>
        <a:ln w="3175">
          <a:noFill/>
          <a:extLst>
            <a:ext uri="{C807C97D-BFC1-408E-A445-0C87EB9F89A2}">
              <ask:lineSketchStyleProps xmlns:ask="http://schemas.microsoft.com/office/drawing/2018/sketchyshapes">
                <ask:type>
                  <ask:lineSketchNone/>
                </ask:type>
              </ask:lineSketchStyleProps>
            </a:ext>
          </a:extLst>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1300">
              <a:solidFill>
                <a:schemeClr val="tx1">
                  <a:lumMod val="75000"/>
                  <a:lumOff val="25000"/>
                </a:schemeClr>
              </a:solidFill>
            </a:rPr>
            <a:t>Total</a:t>
          </a:r>
          <a:r>
            <a:rPr lang="en-US" sz="1300">
              <a:solidFill>
                <a:schemeClr val="tx1">
                  <a:lumMod val="75000"/>
                  <a:lumOff val="25000"/>
                </a:schemeClr>
              </a:solidFill>
            </a:rPr>
            <a:t> Revenue</a:t>
          </a:r>
        </a:p>
      </xdr:txBody>
    </xdr:sp>
    <xdr:clientData/>
  </xdr:twoCellAnchor>
  <xdr:twoCellAnchor>
    <xdr:from>
      <xdr:col>1</xdr:col>
      <xdr:colOff>2101</xdr:colOff>
      <xdr:row>9</xdr:row>
      <xdr:rowOff>0</xdr:rowOff>
    </xdr:from>
    <xdr:to>
      <xdr:col>4</xdr:col>
      <xdr:colOff>4203</xdr:colOff>
      <xdr:row>12</xdr:row>
      <xdr:rowOff>0</xdr:rowOff>
    </xdr:to>
    <xdr:sp macro="" textlink="'Total Sales'!$B$58">
      <xdr:nvSpPr>
        <xdr:cNvPr id="32" name="Rectangle: Rounded Corners 31">
          <a:extLst>
            <a:ext uri="{FF2B5EF4-FFF2-40B4-BE49-F238E27FC236}">
              <a16:creationId xmlns:a16="http://schemas.microsoft.com/office/drawing/2014/main" id="{F9B0EC86-02F3-829B-790A-128FCCCD6D55}"/>
            </a:ext>
          </a:extLst>
        </xdr:cNvPr>
        <xdr:cNvSpPr/>
      </xdr:nvSpPr>
      <xdr:spPr>
        <a:xfrm>
          <a:off x="116401" y="1647825"/>
          <a:ext cx="1830902" cy="571500"/>
        </a:xfrm>
        <a:prstGeom prst="roundRect">
          <a:avLst/>
        </a:prstGeom>
        <a:solidFill>
          <a:schemeClr val="accent1">
            <a:lumMod val="60000"/>
            <a:lumOff val="40000"/>
          </a:schemeClr>
        </a:solidFill>
        <a:ln w="3175">
          <a:solidFill>
            <a:srgbClr val="F4F6F8"/>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6056202-00E2-4830-A774-0AF878553F19}" type="TxLink">
            <a:rPr lang="en-US" sz="1600" b="0" i="0" u="none" strike="noStrike">
              <a:solidFill>
                <a:schemeClr val="tx1">
                  <a:lumMod val="95000"/>
                  <a:lumOff val="5000"/>
                </a:schemeClr>
              </a:solidFill>
              <a:latin typeface="Calibri"/>
              <a:ea typeface="Calibri"/>
              <a:cs typeface="Calibri"/>
            </a:rPr>
            <a:pPr algn="ctr"/>
            <a:t>$45,134</a:t>
          </a:fld>
          <a:endParaRPr lang="en-US" sz="1600">
            <a:solidFill>
              <a:schemeClr val="tx1">
                <a:lumMod val="95000"/>
                <a:lumOff val="5000"/>
              </a:schemeClr>
            </a:solidFill>
          </a:endParaRPr>
        </a:p>
      </xdr:txBody>
    </xdr:sp>
    <xdr:clientData/>
  </xdr:twoCellAnchor>
  <xdr:twoCellAnchor>
    <xdr:from>
      <xdr:col>9</xdr:col>
      <xdr:colOff>609598</xdr:colOff>
      <xdr:row>6</xdr:row>
      <xdr:rowOff>0</xdr:rowOff>
    </xdr:from>
    <xdr:to>
      <xdr:col>13</xdr:col>
      <xdr:colOff>0</xdr:colOff>
      <xdr:row>9</xdr:row>
      <xdr:rowOff>16565</xdr:rowOff>
    </xdr:to>
    <xdr:sp macro="" textlink="">
      <xdr:nvSpPr>
        <xdr:cNvPr id="33" name="Rectangle 32">
          <a:extLst>
            <a:ext uri="{FF2B5EF4-FFF2-40B4-BE49-F238E27FC236}">
              <a16:creationId xmlns:a16="http://schemas.microsoft.com/office/drawing/2014/main" id="{5C37A98A-97FC-1513-2C35-B90F9EE9504D}"/>
            </a:ext>
          </a:extLst>
        </xdr:cNvPr>
        <xdr:cNvSpPr/>
      </xdr:nvSpPr>
      <xdr:spPr>
        <a:xfrm flipH="1">
          <a:off x="5600698" y="1076325"/>
          <a:ext cx="1828802" cy="588065"/>
        </a:xfrm>
        <a:prstGeom prst="rect">
          <a:avLst/>
        </a:prstGeom>
        <a:solidFill>
          <a:srgbClr val="F4F6F8"/>
        </a:solidFill>
        <a:ln w="3175">
          <a:noFill/>
          <a:extLst>
            <a:ext uri="{C807C97D-BFC1-408E-A445-0C87EB9F89A2}">
              <ask:lineSketchStyleProps xmlns:ask="http://schemas.microsoft.com/office/drawing/2018/sketchyshapes">
                <ask:type>
                  <ask:lineSketchNone/>
                </ask:type>
              </ask:lineSketchStyleProps>
            </a:ext>
          </a:extLst>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0" i="0">
              <a:solidFill>
                <a:schemeClr val="tx1">
                  <a:lumMod val="75000"/>
                  <a:lumOff val="25000"/>
                </a:schemeClr>
              </a:solidFill>
              <a:effectLst/>
              <a:latin typeface="+mn-lt"/>
              <a:ea typeface="+mn-ea"/>
              <a:cs typeface="+mn-cs"/>
            </a:rPr>
            <a:t>Segment </a:t>
          </a:r>
          <a:r>
            <a:rPr lang="pl-PL" sz="1300" b="0" i="0">
              <a:solidFill>
                <a:schemeClr val="tx1">
                  <a:lumMod val="75000"/>
                  <a:lumOff val="25000"/>
                </a:schemeClr>
              </a:solidFill>
              <a:effectLst/>
              <a:latin typeface="+mn-lt"/>
              <a:ea typeface="+mn-ea"/>
              <a:cs typeface="+mn-cs"/>
            </a:rPr>
            <a:t>Profit</a:t>
          </a:r>
          <a:r>
            <a:rPr lang="en-US" sz="1300" b="0" i="0">
              <a:solidFill>
                <a:schemeClr val="tx1">
                  <a:lumMod val="75000"/>
                  <a:lumOff val="25000"/>
                </a:schemeClr>
              </a:solidFill>
              <a:effectLst/>
              <a:latin typeface="+mn-lt"/>
              <a:ea typeface="+mn-ea"/>
              <a:cs typeface="+mn-cs"/>
            </a:rPr>
            <a:t> </a:t>
          </a:r>
        </a:p>
        <a:p>
          <a:pPr algn="ctr"/>
          <a:r>
            <a:rPr lang="en-US" sz="1300" b="0" i="0">
              <a:solidFill>
                <a:schemeClr val="tx1">
                  <a:lumMod val="75000"/>
                  <a:lumOff val="25000"/>
                </a:schemeClr>
              </a:solidFill>
              <a:effectLst/>
              <a:latin typeface="+mn-lt"/>
              <a:ea typeface="+mn-ea"/>
              <a:cs typeface="+mn-cs"/>
            </a:rPr>
            <a:t>(% of Total Profit)</a:t>
          </a:r>
          <a:endParaRPr lang="en-US" sz="1300">
            <a:solidFill>
              <a:schemeClr val="tx1">
                <a:lumMod val="75000"/>
                <a:lumOff val="25000"/>
              </a:schemeClr>
            </a:solidFill>
          </a:endParaRPr>
        </a:p>
      </xdr:txBody>
    </xdr:sp>
    <xdr:clientData/>
  </xdr:twoCellAnchor>
  <xdr:twoCellAnchor>
    <xdr:from>
      <xdr:col>10</xdr:col>
      <xdr:colOff>2101</xdr:colOff>
      <xdr:row>9</xdr:row>
      <xdr:rowOff>0</xdr:rowOff>
    </xdr:from>
    <xdr:to>
      <xdr:col>13</xdr:col>
      <xdr:colOff>4203</xdr:colOff>
      <xdr:row>12</xdr:row>
      <xdr:rowOff>0</xdr:rowOff>
    </xdr:to>
    <xdr:sp macro="" textlink="'Total Profit'!$B$4">
      <xdr:nvSpPr>
        <xdr:cNvPr id="34" name="Rectangle: Rounded Corners 33">
          <a:extLst>
            <a:ext uri="{FF2B5EF4-FFF2-40B4-BE49-F238E27FC236}">
              <a16:creationId xmlns:a16="http://schemas.microsoft.com/office/drawing/2014/main" id="{F917B91B-028C-4991-56E7-EC1BD90EAA1A}"/>
            </a:ext>
          </a:extLst>
        </xdr:cNvPr>
        <xdr:cNvSpPr/>
      </xdr:nvSpPr>
      <xdr:spPr>
        <a:xfrm>
          <a:off x="5602801" y="1647825"/>
          <a:ext cx="1830902" cy="571500"/>
        </a:xfrm>
        <a:prstGeom prst="roundRect">
          <a:avLst/>
        </a:prstGeom>
        <a:solidFill>
          <a:schemeClr val="accent1">
            <a:lumMod val="60000"/>
            <a:lumOff val="40000"/>
          </a:schemeClr>
        </a:solidFill>
        <a:ln w="3175">
          <a:solidFill>
            <a:srgbClr val="F4F6F8"/>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55C9413-1DDE-4891-B0EA-64546B961BB6}" type="TxLink">
            <a:rPr lang="en-US" sz="1600" b="0" i="0" u="none" strike="noStrike">
              <a:solidFill>
                <a:schemeClr val="tx1">
                  <a:lumMod val="95000"/>
                  <a:lumOff val="5000"/>
                </a:schemeClr>
              </a:solidFill>
              <a:latin typeface="Calibri"/>
              <a:ea typeface="Calibri"/>
              <a:cs typeface="Calibri"/>
            </a:rPr>
            <a:pPr algn="ctr"/>
            <a:t>35%</a:t>
          </a:fld>
          <a:endParaRPr lang="en-US" sz="1600" b="0">
            <a:solidFill>
              <a:schemeClr val="tx1">
                <a:lumMod val="95000"/>
                <a:lumOff val="5000"/>
              </a:schemeClr>
            </a:solidFill>
          </a:endParaRPr>
        </a:p>
      </xdr:txBody>
    </xdr:sp>
    <xdr:clientData/>
  </xdr:twoCellAnchor>
  <xdr:twoCellAnchor>
    <xdr:from>
      <xdr:col>1</xdr:col>
      <xdr:colOff>0</xdr:colOff>
      <xdr:row>1</xdr:row>
      <xdr:rowOff>0</xdr:rowOff>
    </xdr:from>
    <xdr:to>
      <xdr:col>28</xdr:col>
      <xdr:colOff>609599</xdr:colOff>
      <xdr:row>6</xdr:row>
      <xdr:rowOff>0</xdr:rowOff>
    </xdr:to>
    <xdr:sp macro="" textlink="">
      <xdr:nvSpPr>
        <xdr:cNvPr id="9" name="Rectangle 8">
          <a:extLst>
            <a:ext uri="{FF2B5EF4-FFF2-40B4-BE49-F238E27FC236}">
              <a16:creationId xmlns:a16="http://schemas.microsoft.com/office/drawing/2014/main" id="{83398FA9-7DF6-B410-8DCC-85161E6D47EB}"/>
            </a:ext>
          </a:extLst>
        </xdr:cNvPr>
        <xdr:cNvSpPr/>
      </xdr:nvSpPr>
      <xdr:spPr>
        <a:xfrm>
          <a:off x="114300" y="123825"/>
          <a:ext cx="17068799" cy="952500"/>
        </a:xfrm>
        <a:prstGeom prst="rect">
          <a:avLst/>
        </a:prstGeom>
        <a:solidFill>
          <a:schemeClr val="accent1">
            <a:lumMod val="60000"/>
            <a:lumOff val="4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3200">
              <a:solidFill>
                <a:schemeClr val="tx1">
                  <a:lumMod val="65000"/>
                  <a:lumOff val="35000"/>
                </a:schemeClr>
              </a:solidFill>
            </a:rPr>
            <a:t>Sales &amp; Profitability Dashboard – Coffee Roast Co.</a:t>
          </a:r>
        </a:p>
      </xdr:txBody>
    </xdr:sp>
    <xdr:clientData/>
  </xdr:twoCellAnchor>
  <xdr:twoCellAnchor editAs="oneCell">
    <xdr:from>
      <xdr:col>0</xdr:col>
      <xdr:colOff>107674</xdr:colOff>
      <xdr:row>12</xdr:row>
      <xdr:rowOff>0</xdr:rowOff>
    </xdr:from>
    <xdr:to>
      <xdr:col>17</xdr:col>
      <xdr:colOff>0</xdr:colOff>
      <xdr:row>21</xdr:row>
      <xdr:rowOff>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5D675E9E-61D3-4834-951D-316C7CFD355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7674" y="2220058"/>
              <a:ext cx="9248807" cy="1714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0</xdr:colOff>
      <xdr:row>21</xdr:row>
      <xdr:rowOff>0</xdr:rowOff>
    </xdr:from>
    <xdr:to>
      <xdr:col>17</xdr:col>
      <xdr:colOff>0</xdr:colOff>
      <xdr:row>45</xdr:row>
      <xdr:rowOff>0</xdr:rowOff>
    </xdr:to>
    <xdr:graphicFrame macro="">
      <xdr:nvGraphicFramePr>
        <xdr:cNvPr id="3" name="Chart 2">
          <a:extLst>
            <a:ext uri="{FF2B5EF4-FFF2-40B4-BE49-F238E27FC236}">
              <a16:creationId xmlns:a16="http://schemas.microsoft.com/office/drawing/2014/main" id="{9C7D5155-6149-4AED-9B29-E4DCA48A9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15</xdr:row>
      <xdr:rowOff>0</xdr:rowOff>
    </xdr:from>
    <xdr:to>
      <xdr:col>29</xdr:col>
      <xdr:colOff>0</xdr:colOff>
      <xdr:row>30</xdr:row>
      <xdr:rowOff>0</xdr:rowOff>
    </xdr:to>
    <xdr:graphicFrame macro="">
      <xdr:nvGraphicFramePr>
        <xdr:cNvPr id="8" name="Chart 7">
          <a:extLst>
            <a:ext uri="{FF2B5EF4-FFF2-40B4-BE49-F238E27FC236}">
              <a16:creationId xmlns:a16="http://schemas.microsoft.com/office/drawing/2014/main" id="{B790959B-788B-47E7-9D8E-24A124A65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10</xdr:row>
      <xdr:rowOff>0</xdr:rowOff>
    </xdr:from>
    <xdr:to>
      <xdr:col>21</xdr:col>
      <xdr:colOff>0</xdr:colOff>
      <xdr:row>15</xdr:row>
      <xdr:rowOff>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72AEE0D4-9FFC-4204-968C-AE342A407C4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356481" y="1839058"/>
              <a:ext cx="2432538"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yk Konarzewski" refreshedDate="46024.546934837963" createdVersion="8" refreshedVersion="8" minRefreshableVersion="3" recordCount="1000" xr:uid="{F82E32D9-0E4E-46EE-8A9C-39DBABEDEA47}">
  <cacheSource type="worksheet">
    <worksheetSource name="Orders"/>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 numFmtId="0">
      <sharedItems count="3">
        <s v="Medium"/>
        <s v="Light"/>
        <s v="Dark"/>
      </sharedItems>
    </cacheField>
    <cacheField name="Loyalty Card" numFmtId="0">
      <sharedItems count="2">
        <s v="Yes"/>
        <s v="No"/>
      </sharedItems>
    </cacheField>
    <cacheField name="Profit" numFmtId="167">
      <sharedItems containsSemiMixedTypes="0" containsString="0" containsNumber="1" minValue="0.16109999999999997" maxValue="28.434899999999999"/>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414439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s v="M"/>
    <x v="0"/>
    <n v="9.9499999999999993"/>
    <n v="19.899999999999999"/>
    <x v="0"/>
    <x v="0"/>
    <x v="0"/>
    <n v="1.194"/>
  </r>
  <r>
    <s v="QEV-37451-860"/>
    <x v="0"/>
    <x v="0"/>
    <s v="E-M-0.5"/>
    <n v="5"/>
    <x v="0"/>
    <s v="aallner0@lulu.com"/>
    <x v="0"/>
    <s v="Exc"/>
    <s v="M"/>
    <x v="1"/>
    <n v="8.25"/>
    <n v="41.25"/>
    <x v="1"/>
    <x v="0"/>
    <x v="0"/>
    <n v="4.5374999999999996"/>
  </r>
  <r>
    <s v="FAA-43335-268"/>
    <x v="1"/>
    <x v="1"/>
    <s v="A-L-1"/>
    <n v="1"/>
    <x v="1"/>
    <s v="jredholes2@tmall.com"/>
    <x v="0"/>
    <s v="Ara"/>
    <s v="L"/>
    <x v="0"/>
    <n v="12.95"/>
    <n v="12.95"/>
    <x v="2"/>
    <x v="1"/>
    <x v="0"/>
    <n v="1.1655"/>
  </r>
  <r>
    <s v="KAC-83089-793"/>
    <x v="2"/>
    <x v="2"/>
    <s v="E-M-1"/>
    <n v="2"/>
    <x v="2"/>
    <s v=""/>
    <x v="1"/>
    <s v="Exc"/>
    <s v="M"/>
    <x v="0"/>
    <n v="13.75"/>
    <n v="27.5"/>
    <x v="1"/>
    <x v="0"/>
    <x v="1"/>
    <n v="3.0249999999999999"/>
  </r>
  <r>
    <s v="KAC-83089-793"/>
    <x v="2"/>
    <x v="2"/>
    <s v="R-L-2.5"/>
    <n v="2"/>
    <x v="2"/>
    <s v=""/>
    <x v="1"/>
    <s v="Rob"/>
    <s v="L"/>
    <x v="2"/>
    <n v="27.484999999999996"/>
    <n v="54.969999999999992"/>
    <x v="0"/>
    <x v="1"/>
    <x v="1"/>
    <n v="3.2981999999999996"/>
  </r>
  <r>
    <s v="CVP-18956-553"/>
    <x v="3"/>
    <x v="3"/>
    <s v="L-D-1"/>
    <n v="3"/>
    <x v="3"/>
    <s v=""/>
    <x v="0"/>
    <s v="Lib"/>
    <s v="D"/>
    <x v="0"/>
    <n v="12.95"/>
    <n v="38.849999999999994"/>
    <x v="3"/>
    <x v="2"/>
    <x v="1"/>
    <n v="5.0504999999999995"/>
  </r>
  <r>
    <s v="IPP-31994-879"/>
    <x v="4"/>
    <x v="4"/>
    <s v="E-D-0.5"/>
    <n v="3"/>
    <x v="4"/>
    <s v="slobe6@nifty.com"/>
    <x v="0"/>
    <s v="Exc"/>
    <s v="D"/>
    <x v="1"/>
    <n v="7.29"/>
    <n v="21.87"/>
    <x v="1"/>
    <x v="2"/>
    <x v="0"/>
    <n v="2.4057000000000004"/>
  </r>
  <r>
    <s v="SNZ-65340-705"/>
    <x v="5"/>
    <x v="5"/>
    <s v="L-L-0.2"/>
    <n v="1"/>
    <x v="5"/>
    <s v=""/>
    <x v="1"/>
    <s v="Lib"/>
    <s v="L"/>
    <x v="3"/>
    <n v="4.7549999999999999"/>
    <n v="4.7549999999999999"/>
    <x v="3"/>
    <x v="1"/>
    <x v="0"/>
    <n v="0.61814999999999998"/>
  </r>
  <r>
    <s v="EZT-46571-659"/>
    <x v="6"/>
    <x v="6"/>
    <s v="R-M-0.5"/>
    <n v="3"/>
    <x v="6"/>
    <s v="gpetracci8@livejournal.com"/>
    <x v="0"/>
    <s v="Rob"/>
    <s v="M"/>
    <x v="1"/>
    <n v="5.97"/>
    <n v="17.91"/>
    <x v="0"/>
    <x v="0"/>
    <x v="1"/>
    <n v="1.0745999999999998"/>
  </r>
  <r>
    <s v="NWQ-70061-912"/>
    <x v="0"/>
    <x v="7"/>
    <s v="R-M-0.5"/>
    <n v="1"/>
    <x v="7"/>
    <s v="rraven9@ed.gov"/>
    <x v="0"/>
    <s v="Rob"/>
    <s v="M"/>
    <x v="1"/>
    <n v="5.97"/>
    <n v="5.97"/>
    <x v="0"/>
    <x v="0"/>
    <x v="1"/>
    <n v="0.35819999999999996"/>
  </r>
  <r>
    <s v="BKK-47233-845"/>
    <x v="7"/>
    <x v="8"/>
    <s v="A-D-1"/>
    <n v="4"/>
    <x v="8"/>
    <s v="fferbera@businesswire.com"/>
    <x v="0"/>
    <s v="Ara"/>
    <s v="D"/>
    <x v="0"/>
    <n v="9.9499999999999993"/>
    <n v="39.799999999999997"/>
    <x v="2"/>
    <x v="2"/>
    <x v="1"/>
    <n v="3.5819999999999994"/>
  </r>
  <r>
    <s v="VQR-01002-970"/>
    <x v="8"/>
    <x v="9"/>
    <s v="E-L-2.5"/>
    <n v="5"/>
    <x v="9"/>
    <s v="dphizackerlyb@utexas.edu"/>
    <x v="0"/>
    <s v="Exc"/>
    <s v="L"/>
    <x v="2"/>
    <n v="34.154999999999994"/>
    <n v="170.77499999999998"/>
    <x v="1"/>
    <x v="1"/>
    <x v="0"/>
    <n v="18.785249999999998"/>
  </r>
  <r>
    <s v="SZW-48378-399"/>
    <x v="9"/>
    <x v="10"/>
    <s v="R-M-1"/>
    <n v="5"/>
    <x v="10"/>
    <s v="rscholarc@nyu.edu"/>
    <x v="0"/>
    <s v="Rob"/>
    <s v="M"/>
    <x v="0"/>
    <n v="9.9499999999999993"/>
    <n v="49.75"/>
    <x v="0"/>
    <x v="0"/>
    <x v="1"/>
    <n v="2.9849999999999999"/>
  </r>
  <r>
    <s v="ITA-87418-783"/>
    <x v="10"/>
    <x v="11"/>
    <s v="R-D-2.5"/>
    <n v="2"/>
    <x v="11"/>
    <s v="tvanyutind@wix.com"/>
    <x v="0"/>
    <s v="Rob"/>
    <s v="D"/>
    <x v="2"/>
    <n v="20.584999999999997"/>
    <n v="41.169999999999995"/>
    <x v="0"/>
    <x v="2"/>
    <x v="1"/>
    <n v="2.4701999999999997"/>
  </r>
  <r>
    <s v="GNZ-46006-527"/>
    <x v="11"/>
    <x v="12"/>
    <s v="L-D-0.2"/>
    <n v="3"/>
    <x v="12"/>
    <s v="ptrobee@wunderground.com"/>
    <x v="0"/>
    <s v="Lib"/>
    <s v="D"/>
    <x v="3"/>
    <n v="3.8849999999999998"/>
    <n v="11.654999999999999"/>
    <x v="3"/>
    <x v="2"/>
    <x v="0"/>
    <n v="1.51515"/>
  </r>
  <r>
    <s v="FYQ-78248-319"/>
    <x v="12"/>
    <x v="13"/>
    <s v="R-M-2.5"/>
    <n v="5"/>
    <x v="13"/>
    <s v="loscroftf@ebay.co.uk"/>
    <x v="0"/>
    <s v="Rob"/>
    <s v="M"/>
    <x v="2"/>
    <n v="22.884999999999998"/>
    <n v="114.42499999999998"/>
    <x v="0"/>
    <x v="0"/>
    <x v="1"/>
    <n v="6.865499999999999"/>
  </r>
  <r>
    <s v="VAU-44387-624"/>
    <x v="13"/>
    <x v="14"/>
    <s v="A-M-0.2"/>
    <n v="6"/>
    <x v="14"/>
    <s v="malabasterg@hexun.com"/>
    <x v="0"/>
    <s v="Ara"/>
    <s v="M"/>
    <x v="3"/>
    <n v="3.375"/>
    <n v="20.25"/>
    <x v="2"/>
    <x v="0"/>
    <x v="1"/>
    <n v="1.8224999999999998"/>
  </r>
  <r>
    <s v="RDW-33155-159"/>
    <x v="14"/>
    <x v="15"/>
    <s v="A-L-1"/>
    <n v="6"/>
    <x v="15"/>
    <s v="rbroxuph@jimdo.com"/>
    <x v="0"/>
    <s v="Ara"/>
    <s v="L"/>
    <x v="0"/>
    <n v="12.95"/>
    <n v="77.699999999999989"/>
    <x v="2"/>
    <x v="1"/>
    <x v="1"/>
    <n v="6.9930000000000003"/>
  </r>
  <r>
    <s v="TDZ-59011-211"/>
    <x v="15"/>
    <x v="16"/>
    <s v="R-D-2.5"/>
    <n v="4"/>
    <x v="16"/>
    <s v="predfordi@ow.ly"/>
    <x v="1"/>
    <s v="Rob"/>
    <s v="D"/>
    <x v="2"/>
    <n v="20.584999999999997"/>
    <n v="82.339999999999989"/>
    <x v="0"/>
    <x v="2"/>
    <x v="0"/>
    <n v="4.9403999999999995"/>
  </r>
  <r>
    <s v="IDU-25793-399"/>
    <x v="16"/>
    <x v="17"/>
    <s v="A-M-0.2"/>
    <n v="5"/>
    <x v="17"/>
    <s v="acorradinoj@harvard.edu"/>
    <x v="0"/>
    <s v="Ara"/>
    <s v="M"/>
    <x v="3"/>
    <n v="3.375"/>
    <n v="16.875"/>
    <x v="2"/>
    <x v="0"/>
    <x v="0"/>
    <n v="1.5187499999999998"/>
  </r>
  <r>
    <s v="IDU-25793-399"/>
    <x v="16"/>
    <x v="17"/>
    <s v="E-D-0.2"/>
    <n v="4"/>
    <x v="17"/>
    <s v="acorradinoj@harvard.edu"/>
    <x v="0"/>
    <s v="Exc"/>
    <s v="D"/>
    <x v="3"/>
    <n v="3.645"/>
    <n v="14.58"/>
    <x v="1"/>
    <x v="2"/>
    <x v="0"/>
    <n v="1.6038000000000001"/>
  </r>
  <r>
    <s v="NUO-20013-488"/>
    <x v="16"/>
    <x v="18"/>
    <s v="A-D-0.2"/>
    <n v="6"/>
    <x v="18"/>
    <s v="adavidowskyl@netvibes.com"/>
    <x v="0"/>
    <s v="Ara"/>
    <s v="D"/>
    <x v="3"/>
    <n v="2.9849999999999999"/>
    <n v="17.91"/>
    <x v="2"/>
    <x v="2"/>
    <x v="1"/>
    <n v="1.6118999999999999"/>
  </r>
  <r>
    <s v="UQU-65630-479"/>
    <x v="17"/>
    <x v="19"/>
    <s v="R-M-2.5"/>
    <n v="4"/>
    <x v="19"/>
    <s v="aantukm@kickstarter.com"/>
    <x v="0"/>
    <s v="Rob"/>
    <s v="M"/>
    <x v="2"/>
    <n v="22.884999999999998"/>
    <n v="91.539999999999992"/>
    <x v="0"/>
    <x v="0"/>
    <x v="0"/>
    <n v="5.4923999999999991"/>
  </r>
  <r>
    <s v="FEO-11834-332"/>
    <x v="18"/>
    <x v="20"/>
    <s v="A-D-0.2"/>
    <n v="4"/>
    <x v="20"/>
    <s v="ikleinertn@timesonline.co.uk"/>
    <x v="0"/>
    <s v="Ara"/>
    <s v="D"/>
    <x v="3"/>
    <n v="2.9849999999999999"/>
    <n v="11.94"/>
    <x v="2"/>
    <x v="2"/>
    <x v="0"/>
    <n v="1.0746"/>
  </r>
  <r>
    <s v="TKY-71558-096"/>
    <x v="19"/>
    <x v="21"/>
    <s v="A-M-1"/>
    <n v="1"/>
    <x v="21"/>
    <s v="cblofeldo@amazon.co.uk"/>
    <x v="0"/>
    <s v="Ara"/>
    <s v="M"/>
    <x v="0"/>
    <n v="11.25"/>
    <n v="11.25"/>
    <x v="2"/>
    <x v="0"/>
    <x v="1"/>
    <n v="1.0125"/>
  </r>
  <r>
    <s v="OXY-65322-253"/>
    <x v="20"/>
    <x v="22"/>
    <s v="E-M-0.2"/>
    <n v="3"/>
    <x v="22"/>
    <s v=""/>
    <x v="0"/>
    <s v="Exc"/>
    <s v="M"/>
    <x v="3"/>
    <n v="4.125"/>
    <n v="12.375"/>
    <x v="1"/>
    <x v="0"/>
    <x v="0"/>
    <n v="1.3612500000000001"/>
  </r>
  <r>
    <s v="EVP-43500-491"/>
    <x v="21"/>
    <x v="23"/>
    <s v="A-M-0.5"/>
    <n v="4"/>
    <x v="23"/>
    <s v="sshalesq@umich.edu"/>
    <x v="0"/>
    <s v="Ara"/>
    <s v="M"/>
    <x v="1"/>
    <n v="6.75"/>
    <n v="27"/>
    <x v="2"/>
    <x v="0"/>
    <x v="0"/>
    <n v="2.4299999999999997"/>
  </r>
  <r>
    <s v="WAG-26945-689"/>
    <x v="22"/>
    <x v="24"/>
    <s v="A-M-0.2"/>
    <n v="5"/>
    <x v="24"/>
    <s v="vdanneilr@mtv.com"/>
    <x v="1"/>
    <s v="Ara"/>
    <s v="M"/>
    <x v="3"/>
    <n v="3.375"/>
    <n v="16.875"/>
    <x v="2"/>
    <x v="0"/>
    <x v="1"/>
    <n v="1.5187499999999998"/>
  </r>
  <r>
    <s v="CHE-78995-767"/>
    <x v="23"/>
    <x v="25"/>
    <s v="A-D-0.5"/>
    <n v="3"/>
    <x v="25"/>
    <s v="tnewburys@usda.gov"/>
    <x v="1"/>
    <s v="Ara"/>
    <s v="D"/>
    <x v="1"/>
    <n v="5.97"/>
    <n v="17.91"/>
    <x v="2"/>
    <x v="2"/>
    <x v="1"/>
    <n v="1.6118999999999999"/>
  </r>
  <r>
    <s v="RYZ-14633-602"/>
    <x v="21"/>
    <x v="26"/>
    <s v="A-D-1"/>
    <n v="4"/>
    <x v="26"/>
    <s v="mcalcuttt@baidu.com"/>
    <x v="1"/>
    <s v="Ara"/>
    <s v="D"/>
    <x v="0"/>
    <n v="9.9499999999999993"/>
    <n v="39.799999999999997"/>
    <x v="2"/>
    <x v="2"/>
    <x v="0"/>
    <n v="3.5819999999999994"/>
  </r>
  <r>
    <s v="WOQ-36015-429"/>
    <x v="24"/>
    <x v="27"/>
    <s v="L-M-0.2"/>
    <n v="5"/>
    <x v="27"/>
    <s v=""/>
    <x v="0"/>
    <s v="Lib"/>
    <s v="M"/>
    <x v="3"/>
    <n v="4.3650000000000002"/>
    <n v="21.825000000000003"/>
    <x v="3"/>
    <x v="0"/>
    <x v="1"/>
    <n v="2.83725"/>
  </r>
  <r>
    <s v="WOQ-36015-429"/>
    <x v="24"/>
    <x v="27"/>
    <s v="A-D-0.5"/>
    <n v="6"/>
    <x v="27"/>
    <s v=""/>
    <x v="0"/>
    <s v="Ara"/>
    <s v="D"/>
    <x v="1"/>
    <n v="5.97"/>
    <n v="35.82"/>
    <x v="2"/>
    <x v="2"/>
    <x v="1"/>
    <n v="3.2237999999999998"/>
  </r>
  <r>
    <s v="WOQ-36015-429"/>
    <x v="24"/>
    <x v="27"/>
    <s v="L-M-0.5"/>
    <n v="6"/>
    <x v="27"/>
    <s v=""/>
    <x v="0"/>
    <s v="Lib"/>
    <s v="M"/>
    <x v="1"/>
    <n v="8.73"/>
    <n v="52.38"/>
    <x v="3"/>
    <x v="0"/>
    <x v="1"/>
    <n v="6.8094000000000001"/>
  </r>
  <r>
    <s v="SCT-60553-454"/>
    <x v="25"/>
    <x v="28"/>
    <s v="L-L-0.2"/>
    <n v="5"/>
    <x v="28"/>
    <s v="ggatheralx@123-reg.co.uk"/>
    <x v="0"/>
    <s v="Lib"/>
    <s v="L"/>
    <x v="3"/>
    <n v="4.7549999999999999"/>
    <n v="23.774999999999999"/>
    <x v="3"/>
    <x v="1"/>
    <x v="1"/>
    <n v="3.0907499999999999"/>
  </r>
  <r>
    <s v="GFK-52063-244"/>
    <x v="26"/>
    <x v="29"/>
    <s v="L-L-0.5"/>
    <n v="6"/>
    <x v="29"/>
    <s v="uwelberryy@ebay.co.uk"/>
    <x v="2"/>
    <s v="Lib"/>
    <s v="L"/>
    <x v="1"/>
    <n v="9.51"/>
    <n v="57.06"/>
    <x v="3"/>
    <x v="1"/>
    <x v="0"/>
    <n v="7.4177999999999997"/>
  </r>
  <r>
    <s v="AMM-79521-378"/>
    <x v="27"/>
    <x v="30"/>
    <s v="A-D-0.5"/>
    <n v="6"/>
    <x v="30"/>
    <s v="feilhartz@who.int"/>
    <x v="0"/>
    <s v="Ara"/>
    <s v="D"/>
    <x v="1"/>
    <n v="5.97"/>
    <n v="35.82"/>
    <x v="2"/>
    <x v="2"/>
    <x v="1"/>
    <n v="3.2237999999999998"/>
  </r>
  <r>
    <s v="QUQ-90580-772"/>
    <x v="28"/>
    <x v="31"/>
    <s v="L-M-0.2"/>
    <n v="2"/>
    <x v="31"/>
    <s v="zponting10@altervista.org"/>
    <x v="0"/>
    <s v="Lib"/>
    <s v="M"/>
    <x v="3"/>
    <n v="4.3650000000000002"/>
    <n v="8.73"/>
    <x v="3"/>
    <x v="0"/>
    <x v="1"/>
    <n v="1.1349"/>
  </r>
  <r>
    <s v="LGD-24408-274"/>
    <x v="29"/>
    <x v="32"/>
    <s v="L-L-0.5"/>
    <n v="3"/>
    <x v="32"/>
    <s v="sstrase11@booking.com"/>
    <x v="0"/>
    <s v="Lib"/>
    <s v="L"/>
    <x v="1"/>
    <n v="9.51"/>
    <n v="28.53"/>
    <x v="3"/>
    <x v="1"/>
    <x v="1"/>
    <n v="3.7088999999999999"/>
  </r>
  <r>
    <s v="HCT-95608-959"/>
    <x v="30"/>
    <x v="33"/>
    <s v="R-M-2.5"/>
    <n v="5"/>
    <x v="33"/>
    <s v="dde12@unesco.org"/>
    <x v="0"/>
    <s v="Rob"/>
    <s v="M"/>
    <x v="2"/>
    <n v="22.884999999999998"/>
    <n v="114.42499999999998"/>
    <x v="0"/>
    <x v="0"/>
    <x v="1"/>
    <n v="6.865499999999999"/>
  </r>
  <r>
    <s v="OFX-99147-470"/>
    <x v="31"/>
    <x v="34"/>
    <s v="R-M-1"/>
    <n v="6"/>
    <x v="34"/>
    <s v=""/>
    <x v="0"/>
    <s v="Rob"/>
    <s v="M"/>
    <x v="0"/>
    <n v="9.9499999999999993"/>
    <n v="59.699999999999996"/>
    <x v="0"/>
    <x v="0"/>
    <x v="0"/>
    <n v="3.5819999999999999"/>
  </r>
  <r>
    <s v="LUO-37559-016"/>
    <x v="32"/>
    <x v="35"/>
    <s v="L-M-1"/>
    <n v="3"/>
    <x v="35"/>
    <s v=""/>
    <x v="0"/>
    <s v="Lib"/>
    <s v="M"/>
    <x v="0"/>
    <n v="14.55"/>
    <n v="43.650000000000006"/>
    <x v="3"/>
    <x v="0"/>
    <x v="1"/>
    <n v="5.6745000000000001"/>
  </r>
  <r>
    <s v="XWC-20610-167"/>
    <x v="33"/>
    <x v="36"/>
    <s v="E-D-0.2"/>
    <n v="2"/>
    <x v="36"/>
    <s v="lyeoland15@pbs.org"/>
    <x v="0"/>
    <s v="Exc"/>
    <s v="D"/>
    <x v="3"/>
    <n v="3.645"/>
    <n v="7.29"/>
    <x v="1"/>
    <x v="2"/>
    <x v="0"/>
    <n v="0.80190000000000006"/>
  </r>
  <r>
    <s v="GPU-79113-136"/>
    <x v="34"/>
    <x v="37"/>
    <s v="R-D-0.2"/>
    <n v="3"/>
    <x v="37"/>
    <s v="atolworthy16@toplist.cz"/>
    <x v="0"/>
    <s v="Rob"/>
    <s v="D"/>
    <x v="3"/>
    <n v="2.6849999999999996"/>
    <n v="8.0549999999999997"/>
    <x v="0"/>
    <x v="2"/>
    <x v="0"/>
    <n v="0.4832999999999999"/>
  </r>
  <r>
    <s v="ULR-52653-960"/>
    <x v="35"/>
    <x v="38"/>
    <s v="L-L-2.5"/>
    <n v="2"/>
    <x v="38"/>
    <s v=""/>
    <x v="0"/>
    <s v="Lib"/>
    <s v="L"/>
    <x v="2"/>
    <n v="36.454999999999998"/>
    <n v="72.91"/>
    <x v="3"/>
    <x v="1"/>
    <x v="1"/>
    <n v="9.4782999999999991"/>
  </r>
  <r>
    <s v="HPI-42308-142"/>
    <x v="36"/>
    <x v="39"/>
    <s v="E-M-0.5"/>
    <n v="2"/>
    <x v="39"/>
    <s v="obaudassi18@seesaa.net"/>
    <x v="0"/>
    <s v="Exc"/>
    <s v="M"/>
    <x v="1"/>
    <n v="8.25"/>
    <n v="16.5"/>
    <x v="1"/>
    <x v="0"/>
    <x v="0"/>
    <n v="1.8149999999999999"/>
  </r>
  <r>
    <s v="XHI-30227-581"/>
    <x v="37"/>
    <x v="40"/>
    <s v="L-D-2.5"/>
    <n v="6"/>
    <x v="40"/>
    <s v="pkingsbury19@comcast.net"/>
    <x v="0"/>
    <s v="Lib"/>
    <s v="D"/>
    <x v="2"/>
    <n v="29.784999999999997"/>
    <n v="178.70999999999998"/>
    <x v="3"/>
    <x v="2"/>
    <x v="1"/>
    <n v="23.232299999999999"/>
  </r>
  <r>
    <s v="DJH-05202-380"/>
    <x v="38"/>
    <x v="41"/>
    <s v="E-M-2.5"/>
    <n v="2"/>
    <x v="41"/>
    <s v=""/>
    <x v="0"/>
    <s v="Exc"/>
    <s v="M"/>
    <x v="2"/>
    <n v="31.624999999999996"/>
    <n v="63.249999999999993"/>
    <x v="1"/>
    <x v="0"/>
    <x v="0"/>
    <n v="6.9574999999999996"/>
  </r>
  <r>
    <s v="VMW-26889-781"/>
    <x v="39"/>
    <x v="42"/>
    <s v="A-L-0.2"/>
    <n v="2"/>
    <x v="42"/>
    <s v="acurley1b@hao123.com"/>
    <x v="0"/>
    <s v="Ara"/>
    <s v="L"/>
    <x v="3"/>
    <n v="3.8849999999999998"/>
    <n v="7.77"/>
    <x v="2"/>
    <x v="1"/>
    <x v="0"/>
    <n v="0.69929999999999992"/>
  </r>
  <r>
    <s v="DBU-81099-586"/>
    <x v="40"/>
    <x v="43"/>
    <s v="A-D-2.5"/>
    <n v="4"/>
    <x v="43"/>
    <s v="rmcgilvary1c@tamu.edu"/>
    <x v="0"/>
    <s v="Ara"/>
    <s v="D"/>
    <x v="2"/>
    <n v="22.884999999999998"/>
    <n v="91.539999999999992"/>
    <x v="2"/>
    <x v="2"/>
    <x v="1"/>
    <n v="8.2385999999999981"/>
  </r>
  <r>
    <s v="PQA-54820-810"/>
    <x v="41"/>
    <x v="44"/>
    <s v="A-L-1"/>
    <n v="3"/>
    <x v="44"/>
    <s v="ipikett1d@xinhuanet.com"/>
    <x v="0"/>
    <s v="Ara"/>
    <s v="L"/>
    <x v="0"/>
    <n v="12.95"/>
    <n v="38.849999999999994"/>
    <x v="2"/>
    <x v="1"/>
    <x v="1"/>
    <n v="3.4965000000000002"/>
  </r>
  <r>
    <s v="XKB-41924-202"/>
    <x v="42"/>
    <x v="45"/>
    <s v="L-D-0.5"/>
    <n v="2"/>
    <x v="45"/>
    <s v="ibouldon1e@gizmodo.com"/>
    <x v="0"/>
    <s v="Lib"/>
    <s v="D"/>
    <x v="1"/>
    <n v="7.77"/>
    <n v="15.54"/>
    <x v="3"/>
    <x v="2"/>
    <x v="1"/>
    <n v="2.0202"/>
  </r>
  <r>
    <s v="DWZ-69106-473"/>
    <x v="43"/>
    <x v="46"/>
    <s v="L-L-2.5"/>
    <n v="4"/>
    <x v="46"/>
    <s v="kflanders1f@over-blog.com"/>
    <x v="1"/>
    <s v="Lib"/>
    <s v="L"/>
    <x v="2"/>
    <n v="36.454999999999998"/>
    <n v="145.82"/>
    <x v="3"/>
    <x v="1"/>
    <x v="0"/>
    <n v="18.956599999999998"/>
  </r>
  <r>
    <s v="YHV-68700-050"/>
    <x v="44"/>
    <x v="47"/>
    <s v="R-M-0.5"/>
    <n v="5"/>
    <x v="47"/>
    <s v="hmattioli1g@webmd.com"/>
    <x v="2"/>
    <s v="Rob"/>
    <s v="M"/>
    <x v="1"/>
    <n v="5.97"/>
    <n v="29.849999999999998"/>
    <x v="0"/>
    <x v="0"/>
    <x v="1"/>
    <n v="1.7909999999999999"/>
  </r>
  <r>
    <s v="YHV-68700-050"/>
    <x v="44"/>
    <x v="47"/>
    <s v="L-L-2.5"/>
    <n v="2"/>
    <x v="47"/>
    <s v="hmattioli1g@webmd.com"/>
    <x v="2"/>
    <s v="Lib"/>
    <s v="L"/>
    <x v="2"/>
    <n v="36.454999999999998"/>
    <n v="72.91"/>
    <x v="3"/>
    <x v="1"/>
    <x v="1"/>
    <n v="9.4782999999999991"/>
  </r>
  <r>
    <s v="KRB-88066-642"/>
    <x v="45"/>
    <x v="48"/>
    <s v="L-M-1"/>
    <n v="5"/>
    <x v="48"/>
    <s v="agillard1i@issuu.com"/>
    <x v="0"/>
    <s v="Lib"/>
    <s v="M"/>
    <x v="0"/>
    <n v="14.55"/>
    <n v="72.75"/>
    <x v="3"/>
    <x v="0"/>
    <x v="1"/>
    <n v="9.4575000000000014"/>
  </r>
  <r>
    <s v="LQU-08404-173"/>
    <x v="46"/>
    <x v="49"/>
    <s v="L-L-1"/>
    <n v="3"/>
    <x v="49"/>
    <s v=""/>
    <x v="0"/>
    <s v="Lib"/>
    <s v="L"/>
    <x v="0"/>
    <n v="15.85"/>
    <n v="47.55"/>
    <x v="3"/>
    <x v="1"/>
    <x v="1"/>
    <n v="6.1815000000000007"/>
  </r>
  <r>
    <s v="CWK-60159-881"/>
    <x v="47"/>
    <x v="50"/>
    <s v="E-D-0.2"/>
    <n v="3"/>
    <x v="50"/>
    <s v="tgrizard1k@odnoklassniki.ru"/>
    <x v="0"/>
    <s v="Exc"/>
    <s v="D"/>
    <x v="3"/>
    <n v="3.645"/>
    <n v="10.935"/>
    <x v="1"/>
    <x v="2"/>
    <x v="0"/>
    <n v="1.2028500000000002"/>
  </r>
  <r>
    <s v="EEG-74197-843"/>
    <x v="48"/>
    <x v="51"/>
    <s v="E-L-1"/>
    <n v="4"/>
    <x v="51"/>
    <s v="rrelton1l@stanford.edu"/>
    <x v="0"/>
    <s v="Exc"/>
    <s v="L"/>
    <x v="0"/>
    <n v="14.85"/>
    <n v="59.4"/>
    <x v="1"/>
    <x v="1"/>
    <x v="1"/>
    <n v="6.5339999999999998"/>
  </r>
  <r>
    <s v="UCZ-59708-525"/>
    <x v="49"/>
    <x v="52"/>
    <s v="L-D-2.5"/>
    <n v="3"/>
    <x v="52"/>
    <s v=""/>
    <x v="0"/>
    <s v="Lib"/>
    <s v="D"/>
    <x v="2"/>
    <n v="29.784999999999997"/>
    <n v="89.35499999999999"/>
    <x v="3"/>
    <x v="2"/>
    <x v="0"/>
    <n v="11.616149999999999"/>
  </r>
  <r>
    <s v="HUB-47311-849"/>
    <x v="50"/>
    <x v="53"/>
    <s v="L-M-0.5"/>
    <n v="3"/>
    <x v="53"/>
    <s v="sgilroy1n@eepurl.com"/>
    <x v="0"/>
    <s v="Lib"/>
    <s v="M"/>
    <x v="1"/>
    <n v="8.73"/>
    <n v="26.19"/>
    <x v="3"/>
    <x v="0"/>
    <x v="0"/>
    <n v="3.4047000000000001"/>
  </r>
  <r>
    <s v="WYM-17686-694"/>
    <x v="51"/>
    <x v="54"/>
    <s v="A-D-2.5"/>
    <n v="5"/>
    <x v="54"/>
    <s v="ccottingham1o@wikipedia.org"/>
    <x v="0"/>
    <s v="Ara"/>
    <s v="D"/>
    <x v="2"/>
    <n v="22.884999999999998"/>
    <n v="114.42499999999998"/>
    <x v="2"/>
    <x v="2"/>
    <x v="1"/>
    <n v="10.298249999999998"/>
  </r>
  <r>
    <s v="ZYQ-15797-695"/>
    <x v="52"/>
    <x v="55"/>
    <s v="R-D-0.5"/>
    <n v="5"/>
    <x v="55"/>
    <s v=""/>
    <x v="2"/>
    <s v="Rob"/>
    <s v="D"/>
    <x v="1"/>
    <n v="5.3699999999999992"/>
    <n v="26.849999999999994"/>
    <x v="0"/>
    <x v="2"/>
    <x v="0"/>
    <n v="1.6109999999999998"/>
  </r>
  <r>
    <s v="EEJ-16185-108"/>
    <x v="53"/>
    <x v="56"/>
    <s v="L-L-0.2"/>
    <n v="5"/>
    <x v="56"/>
    <s v=""/>
    <x v="0"/>
    <s v="Lib"/>
    <s v="L"/>
    <x v="3"/>
    <n v="4.7549999999999999"/>
    <n v="23.774999999999999"/>
    <x v="3"/>
    <x v="1"/>
    <x v="0"/>
    <n v="3.0907499999999999"/>
  </r>
  <r>
    <s v="RWR-77888-800"/>
    <x v="54"/>
    <x v="57"/>
    <s v="A-M-0.5"/>
    <n v="1"/>
    <x v="57"/>
    <s v="adykes1r@eventbrite.com"/>
    <x v="0"/>
    <s v="Ara"/>
    <s v="M"/>
    <x v="1"/>
    <n v="6.75"/>
    <n v="6.75"/>
    <x v="2"/>
    <x v="0"/>
    <x v="1"/>
    <n v="0.60749999999999993"/>
  </r>
  <r>
    <s v="LHN-75209-742"/>
    <x v="55"/>
    <x v="58"/>
    <s v="R-M-0.5"/>
    <n v="6"/>
    <x v="58"/>
    <s v=""/>
    <x v="0"/>
    <s v="Rob"/>
    <s v="M"/>
    <x v="1"/>
    <n v="5.97"/>
    <n v="35.82"/>
    <x v="0"/>
    <x v="0"/>
    <x v="0"/>
    <n v="2.1491999999999996"/>
  </r>
  <r>
    <s v="TIR-71396-998"/>
    <x v="56"/>
    <x v="59"/>
    <s v="R-D-2.5"/>
    <n v="4"/>
    <x v="59"/>
    <s v="acockrem1t@engadget.com"/>
    <x v="0"/>
    <s v="Rob"/>
    <s v="D"/>
    <x v="2"/>
    <n v="20.584999999999997"/>
    <n v="82.339999999999989"/>
    <x v="0"/>
    <x v="2"/>
    <x v="0"/>
    <n v="4.9403999999999995"/>
  </r>
  <r>
    <s v="RXF-37618-213"/>
    <x v="57"/>
    <x v="60"/>
    <s v="R-L-0.5"/>
    <n v="1"/>
    <x v="60"/>
    <s v="bumpleby1u@soundcloud.com"/>
    <x v="0"/>
    <s v="Rob"/>
    <s v="L"/>
    <x v="1"/>
    <n v="7.169999999999999"/>
    <n v="7.169999999999999"/>
    <x v="0"/>
    <x v="1"/>
    <x v="0"/>
    <n v="0.43019999999999992"/>
  </r>
  <r>
    <s v="ANM-16388-634"/>
    <x v="58"/>
    <x v="61"/>
    <s v="L-L-0.2"/>
    <n v="2"/>
    <x v="61"/>
    <s v="nsaleway1v@dedecms.com"/>
    <x v="0"/>
    <s v="Lib"/>
    <s v="L"/>
    <x v="3"/>
    <n v="4.7549999999999999"/>
    <n v="9.51"/>
    <x v="3"/>
    <x v="1"/>
    <x v="1"/>
    <n v="1.2363"/>
  </r>
  <r>
    <s v="WYL-29300-070"/>
    <x v="59"/>
    <x v="62"/>
    <s v="R-M-0.2"/>
    <n v="1"/>
    <x v="62"/>
    <s v="hgoulter1w@abc.net.au"/>
    <x v="0"/>
    <s v="Rob"/>
    <s v="M"/>
    <x v="3"/>
    <n v="2.9849999999999999"/>
    <n v="2.9849999999999999"/>
    <x v="0"/>
    <x v="0"/>
    <x v="1"/>
    <n v="0.17909999999999998"/>
  </r>
  <r>
    <s v="JHW-74554-805"/>
    <x v="60"/>
    <x v="63"/>
    <s v="R-M-1"/>
    <n v="6"/>
    <x v="63"/>
    <s v="grizzello1x@symantec.com"/>
    <x v="2"/>
    <s v="Rob"/>
    <s v="M"/>
    <x v="0"/>
    <n v="9.9499999999999993"/>
    <n v="59.699999999999996"/>
    <x v="0"/>
    <x v="0"/>
    <x v="0"/>
    <n v="3.5819999999999999"/>
  </r>
  <r>
    <s v="KYS-27063-603"/>
    <x v="61"/>
    <x v="64"/>
    <s v="E-L-2.5"/>
    <n v="4"/>
    <x v="64"/>
    <s v="slist1y@mapquest.com"/>
    <x v="0"/>
    <s v="Exc"/>
    <s v="L"/>
    <x v="2"/>
    <n v="34.154999999999994"/>
    <n v="136.61999999999998"/>
    <x v="1"/>
    <x v="1"/>
    <x v="1"/>
    <n v="15.028199999999998"/>
  </r>
  <r>
    <s v="GAZ-58626-277"/>
    <x v="62"/>
    <x v="65"/>
    <s v="L-L-0.2"/>
    <n v="2"/>
    <x v="65"/>
    <s v="sedmondson1z@theguardian.com"/>
    <x v="1"/>
    <s v="Lib"/>
    <s v="L"/>
    <x v="3"/>
    <n v="4.7549999999999999"/>
    <n v="9.51"/>
    <x v="3"/>
    <x v="1"/>
    <x v="1"/>
    <n v="1.2363"/>
  </r>
  <r>
    <s v="RPJ-37787-335"/>
    <x v="63"/>
    <x v="66"/>
    <s v="A-M-2.5"/>
    <n v="3"/>
    <x v="66"/>
    <s v=""/>
    <x v="0"/>
    <s v="Ara"/>
    <s v="M"/>
    <x v="2"/>
    <n v="25.874999999999996"/>
    <n v="77.624999999999986"/>
    <x v="2"/>
    <x v="0"/>
    <x v="1"/>
    <n v="6.9862499999999983"/>
  </r>
  <r>
    <s v="LEF-83057-763"/>
    <x v="64"/>
    <x v="67"/>
    <s v="L-M-0.2"/>
    <n v="5"/>
    <x v="67"/>
    <s v=""/>
    <x v="0"/>
    <s v="Lib"/>
    <s v="M"/>
    <x v="3"/>
    <n v="4.3650000000000002"/>
    <n v="21.825000000000003"/>
    <x v="3"/>
    <x v="0"/>
    <x v="0"/>
    <n v="2.83725"/>
  </r>
  <r>
    <s v="RPW-36123-215"/>
    <x v="65"/>
    <x v="68"/>
    <s v="E-L-0.5"/>
    <n v="2"/>
    <x v="68"/>
    <s v="jrangall22@newsvine.com"/>
    <x v="0"/>
    <s v="Exc"/>
    <s v="L"/>
    <x v="1"/>
    <n v="8.91"/>
    <n v="17.82"/>
    <x v="1"/>
    <x v="1"/>
    <x v="0"/>
    <n v="1.9601999999999999"/>
  </r>
  <r>
    <s v="WLL-59044-117"/>
    <x v="66"/>
    <x v="69"/>
    <s v="R-D-1"/>
    <n v="6"/>
    <x v="69"/>
    <s v="kboorn23@ezinearticles.com"/>
    <x v="1"/>
    <s v="Rob"/>
    <s v="D"/>
    <x v="0"/>
    <n v="8.9499999999999993"/>
    <n v="53.699999999999996"/>
    <x v="0"/>
    <x v="2"/>
    <x v="0"/>
    <n v="3.2219999999999995"/>
  </r>
  <r>
    <s v="AWT-22827-563"/>
    <x v="67"/>
    <x v="70"/>
    <s v="R-L-0.2"/>
    <n v="1"/>
    <x v="70"/>
    <s v=""/>
    <x v="1"/>
    <s v="Rob"/>
    <s v="L"/>
    <x v="3"/>
    <n v="3.5849999999999995"/>
    <n v="3.5849999999999995"/>
    <x v="0"/>
    <x v="1"/>
    <x v="0"/>
    <n v="0.21509999999999996"/>
  </r>
  <r>
    <s v="QLM-07145-668"/>
    <x v="68"/>
    <x v="71"/>
    <s v="E-D-0.2"/>
    <n v="2"/>
    <x v="71"/>
    <s v="celgey25@webs.com"/>
    <x v="0"/>
    <s v="Exc"/>
    <s v="D"/>
    <x v="3"/>
    <n v="3.645"/>
    <n v="7.29"/>
    <x v="1"/>
    <x v="2"/>
    <x v="1"/>
    <n v="0.80190000000000006"/>
  </r>
  <r>
    <s v="HVQ-64398-930"/>
    <x v="69"/>
    <x v="72"/>
    <s v="A-M-0.5"/>
    <n v="6"/>
    <x v="72"/>
    <s v="lmizzi26@rakuten.co.jp"/>
    <x v="0"/>
    <s v="Ara"/>
    <s v="M"/>
    <x v="1"/>
    <n v="6.75"/>
    <n v="40.5"/>
    <x v="2"/>
    <x v="0"/>
    <x v="0"/>
    <n v="3.6449999999999996"/>
  </r>
  <r>
    <s v="WRT-40778-247"/>
    <x v="70"/>
    <x v="73"/>
    <s v="R-L-1"/>
    <n v="4"/>
    <x v="73"/>
    <s v="cgiacomazzo27@jigsy.com"/>
    <x v="0"/>
    <s v="Rob"/>
    <s v="L"/>
    <x v="0"/>
    <n v="11.95"/>
    <n v="47.8"/>
    <x v="0"/>
    <x v="1"/>
    <x v="1"/>
    <n v="2.8679999999999999"/>
  </r>
  <r>
    <s v="SUB-13006-125"/>
    <x v="71"/>
    <x v="74"/>
    <s v="A-L-0.5"/>
    <n v="5"/>
    <x v="74"/>
    <s v="aarnow28@arizona.edu"/>
    <x v="0"/>
    <s v="Ara"/>
    <s v="L"/>
    <x v="1"/>
    <n v="7.77"/>
    <n v="38.849999999999994"/>
    <x v="2"/>
    <x v="1"/>
    <x v="0"/>
    <n v="3.4964999999999997"/>
  </r>
  <r>
    <s v="CQM-49696-263"/>
    <x v="72"/>
    <x v="75"/>
    <s v="L-L-2.5"/>
    <n v="3"/>
    <x v="75"/>
    <s v="syann29@senate.gov"/>
    <x v="0"/>
    <s v="Lib"/>
    <s v="L"/>
    <x v="2"/>
    <n v="36.454999999999998"/>
    <n v="109.36499999999999"/>
    <x v="3"/>
    <x v="1"/>
    <x v="0"/>
    <n v="14.217449999999999"/>
  </r>
  <r>
    <s v="KXN-85094-246"/>
    <x v="73"/>
    <x v="76"/>
    <s v="L-M-2.5"/>
    <n v="3"/>
    <x v="76"/>
    <s v="bnaulls2a@tiny.cc"/>
    <x v="1"/>
    <s v="Lib"/>
    <s v="M"/>
    <x v="2"/>
    <n v="33.464999999999996"/>
    <n v="100.39499999999998"/>
    <x v="3"/>
    <x v="0"/>
    <x v="0"/>
    <n v="13.051349999999999"/>
  </r>
  <r>
    <s v="XOQ-12405-419"/>
    <x v="74"/>
    <x v="77"/>
    <s v="R-D-2.5"/>
    <n v="4"/>
    <x v="77"/>
    <s v=""/>
    <x v="0"/>
    <s v="Rob"/>
    <s v="D"/>
    <x v="2"/>
    <n v="20.584999999999997"/>
    <n v="82.339999999999989"/>
    <x v="0"/>
    <x v="2"/>
    <x v="0"/>
    <n v="4.9403999999999995"/>
  </r>
  <r>
    <s v="HYF-10254-369"/>
    <x v="75"/>
    <x v="78"/>
    <s v="L-L-0.5"/>
    <n v="1"/>
    <x v="78"/>
    <s v="zsherewood2c@apache.org"/>
    <x v="0"/>
    <s v="Lib"/>
    <s v="L"/>
    <x v="1"/>
    <n v="9.51"/>
    <n v="9.51"/>
    <x v="3"/>
    <x v="1"/>
    <x v="1"/>
    <n v="1.2363"/>
  </r>
  <r>
    <s v="XXJ-47000-307"/>
    <x v="76"/>
    <x v="79"/>
    <s v="A-L-2.5"/>
    <n v="3"/>
    <x v="79"/>
    <s v="jdufaire2d@fc2.com"/>
    <x v="0"/>
    <s v="Ara"/>
    <s v="L"/>
    <x v="2"/>
    <n v="29.784999999999997"/>
    <n v="89.35499999999999"/>
    <x v="2"/>
    <x v="1"/>
    <x v="1"/>
    <n v="8.0419499999999982"/>
  </r>
  <r>
    <s v="XXJ-47000-307"/>
    <x v="76"/>
    <x v="79"/>
    <s v="A-D-0.2"/>
    <n v="4"/>
    <x v="79"/>
    <s v="jdufaire2d@fc2.com"/>
    <x v="0"/>
    <s v="Ara"/>
    <s v="D"/>
    <x v="3"/>
    <n v="2.9849999999999999"/>
    <n v="11.94"/>
    <x v="2"/>
    <x v="2"/>
    <x v="1"/>
    <n v="1.0746"/>
  </r>
  <r>
    <s v="ZDK-82166-357"/>
    <x v="77"/>
    <x v="80"/>
    <s v="A-M-1"/>
    <n v="3"/>
    <x v="80"/>
    <s v="bkeaveney2f@netlog.com"/>
    <x v="0"/>
    <s v="Ara"/>
    <s v="M"/>
    <x v="0"/>
    <n v="11.25"/>
    <n v="33.75"/>
    <x v="2"/>
    <x v="0"/>
    <x v="1"/>
    <n v="3.0374999999999996"/>
  </r>
  <r>
    <s v="IHN-19982-362"/>
    <x v="78"/>
    <x v="81"/>
    <s v="R-L-1"/>
    <n v="3"/>
    <x v="81"/>
    <s v="egrise2g@cargocollective.com"/>
    <x v="0"/>
    <s v="Rob"/>
    <s v="L"/>
    <x v="0"/>
    <n v="11.95"/>
    <n v="35.849999999999994"/>
    <x v="0"/>
    <x v="1"/>
    <x v="1"/>
    <n v="2.1509999999999998"/>
  </r>
  <r>
    <s v="VMT-10030-889"/>
    <x v="79"/>
    <x v="82"/>
    <s v="A-L-1"/>
    <n v="6"/>
    <x v="82"/>
    <s v="tgottelier2h@vistaprint.com"/>
    <x v="0"/>
    <s v="Ara"/>
    <s v="L"/>
    <x v="0"/>
    <n v="12.95"/>
    <n v="77.699999999999989"/>
    <x v="2"/>
    <x v="1"/>
    <x v="1"/>
    <n v="6.9930000000000003"/>
  </r>
  <r>
    <s v="NHL-11063-100"/>
    <x v="80"/>
    <x v="83"/>
    <s v="A-L-1"/>
    <n v="4"/>
    <x v="83"/>
    <s v=""/>
    <x v="1"/>
    <s v="Ara"/>
    <s v="L"/>
    <x v="0"/>
    <n v="12.95"/>
    <n v="51.8"/>
    <x v="2"/>
    <x v="1"/>
    <x v="0"/>
    <n v="4.6619999999999999"/>
  </r>
  <r>
    <s v="ROV-87448-086"/>
    <x v="81"/>
    <x v="84"/>
    <s v="A-M-2.5"/>
    <n v="4"/>
    <x v="84"/>
    <s v="agreenhead2j@dailymail.co.uk"/>
    <x v="0"/>
    <s v="Ara"/>
    <s v="M"/>
    <x v="2"/>
    <n v="25.874999999999996"/>
    <n v="103.49999999999999"/>
    <x v="2"/>
    <x v="0"/>
    <x v="1"/>
    <n v="9.3149999999999977"/>
  </r>
  <r>
    <s v="DGY-35773-612"/>
    <x v="82"/>
    <x v="85"/>
    <s v="E-L-1"/>
    <n v="3"/>
    <x v="85"/>
    <s v=""/>
    <x v="0"/>
    <s v="Exc"/>
    <s v="L"/>
    <x v="0"/>
    <n v="14.85"/>
    <n v="44.55"/>
    <x v="1"/>
    <x v="1"/>
    <x v="0"/>
    <n v="4.9005000000000001"/>
  </r>
  <r>
    <s v="YWH-50638-556"/>
    <x v="83"/>
    <x v="86"/>
    <s v="E-L-0.5"/>
    <n v="4"/>
    <x v="86"/>
    <s v="elangcaster2l@spotify.com"/>
    <x v="2"/>
    <s v="Exc"/>
    <s v="L"/>
    <x v="1"/>
    <n v="8.91"/>
    <n v="35.64"/>
    <x v="1"/>
    <x v="1"/>
    <x v="0"/>
    <n v="3.9203999999999999"/>
  </r>
  <r>
    <s v="ISL-11200-600"/>
    <x v="84"/>
    <x v="87"/>
    <s v="A-D-0.2"/>
    <n v="6"/>
    <x v="87"/>
    <s v=""/>
    <x v="1"/>
    <s v="Ara"/>
    <s v="D"/>
    <x v="3"/>
    <n v="2.9849999999999999"/>
    <n v="17.91"/>
    <x v="2"/>
    <x v="2"/>
    <x v="0"/>
    <n v="1.6118999999999999"/>
  </r>
  <r>
    <s v="LBZ-75997-047"/>
    <x v="85"/>
    <x v="88"/>
    <s v="A-M-2.5"/>
    <n v="6"/>
    <x v="88"/>
    <s v="nmagauran2n@51.la"/>
    <x v="0"/>
    <s v="Ara"/>
    <s v="M"/>
    <x v="2"/>
    <n v="25.874999999999996"/>
    <n v="155.24999999999997"/>
    <x v="2"/>
    <x v="0"/>
    <x v="1"/>
    <n v="13.972499999999997"/>
  </r>
  <r>
    <s v="EUH-08089-954"/>
    <x v="86"/>
    <x v="89"/>
    <s v="A-D-0.2"/>
    <n v="2"/>
    <x v="89"/>
    <s v="vkirdsch2o@google.fr"/>
    <x v="0"/>
    <s v="Ara"/>
    <s v="D"/>
    <x v="3"/>
    <n v="2.9849999999999999"/>
    <n v="5.97"/>
    <x v="2"/>
    <x v="2"/>
    <x v="1"/>
    <n v="0.5373"/>
  </r>
  <r>
    <s v="BLD-12227-251"/>
    <x v="87"/>
    <x v="90"/>
    <s v="A-M-0.5"/>
    <n v="2"/>
    <x v="90"/>
    <s v="iwhapple2p@com.com"/>
    <x v="0"/>
    <s v="Ara"/>
    <s v="M"/>
    <x v="1"/>
    <n v="6.75"/>
    <n v="13.5"/>
    <x v="2"/>
    <x v="0"/>
    <x v="1"/>
    <n v="1.2149999999999999"/>
  </r>
  <r>
    <s v="OPY-30711-853"/>
    <x v="25"/>
    <x v="91"/>
    <s v="A-D-0.2"/>
    <n v="1"/>
    <x v="91"/>
    <s v=""/>
    <x v="1"/>
    <s v="Ara"/>
    <s v="D"/>
    <x v="3"/>
    <n v="2.9849999999999999"/>
    <n v="2.9849999999999999"/>
    <x v="2"/>
    <x v="2"/>
    <x v="1"/>
    <n v="0.26865"/>
  </r>
  <r>
    <s v="DBC-44122-300"/>
    <x v="88"/>
    <x v="92"/>
    <s v="L-M-0.2"/>
    <n v="3"/>
    <x v="92"/>
    <s v=""/>
    <x v="0"/>
    <s v="Lib"/>
    <s v="M"/>
    <x v="3"/>
    <n v="4.3650000000000002"/>
    <n v="13.095000000000001"/>
    <x v="3"/>
    <x v="0"/>
    <x v="0"/>
    <n v="1.70235"/>
  </r>
  <r>
    <s v="FJQ-60035-234"/>
    <x v="89"/>
    <x v="93"/>
    <s v="A-L-0.2"/>
    <n v="2"/>
    <x v="93"/>
    <s v=""/>
    <x v="0"/>
    <s v="Ara"/>
    <s v="L"/>
    <x v="3"/>
    <n v="3.8849999999999998"/>
    <n v="7.77"/>
    <x v="2"/>
    <x v="1"/>
    <x v="0"/>
    <n v="0.69929999999999992"/>
  </r>
  <r>
    <s v="HSF-66926-425"/>
    <x v="90"/>
    <x v="94"/>
    <s v="L-D-2.5"/>
    <n v="5"/>
    <x v="94"/>
    <s v="nyoules2t@reference.com"/>
    <x v="1"/>
    <s v="Lib"/>
    <s v="D"/>
    <x v="2"/>
    <n v="29.784999999999997"/>
    <n v="148.92499999999998"/>
    <x v="3"/>
    <x v="2"/>
    <x v="0"/>
    <n v="19.360250000000001"/>
  </r>
  <r>
    <s v="LQG-41416-375"/>
    <x v="91"/>
    <x v="95"/>
    <s v="L-D-1"/>
    <n v="3"/>
    <x v="95"/>
    <s v="daizikovitz2u@answers.com"/>
    <x v="1"/>
    <s v="Lib"/>
    <s v="D"/>
    <x v="0"/>
    <n v="12.95"/>
    <n v="38.849999999999994"/>
    <x v="3"/>
    <x v="2"/>
    <x v="0"/>
    <n v="5.0504999999999995"/>
  </r>
  <r>
    <s v="VZO-97265-841"/>
    <x v="92"/>
    <x v="96"/>
    <s v="R-M-0.2"/>
    <n v="4"/>
    <x v="96"/>
    <s v="brevel2v@fastcompany.com"/>
    <x v="0"/>
    <s v="Rob"/>
    <s v="M"/>
    <x v="3"/>
    <n v="2.9849999999999999"/>
    <n v="11.94"/>
    <x v="0"/>
    <x v="0"/>
    <x v="1"/>
    <n v="0.71639999999999993"/>
  </r>
  <r>
    <s v="MOR-12987-399"/>
    <x v="93"/>
    <x v="97"/>
    <s v="L-M-1"/>
    <n v="6"/>
    <x v="97"/>
    <s v="epriddis2w@nationalgeographic.com"/>
    <x v="0"/>
    <s v="Lib"/>
    <s v="M"/>
    <x v="0"/>
    <n v="14.55"/>
    <n v="87.300000000000011"/>
    <x v="3"/>
    <x v="0"/>
    <x v="1"/>
    <n v="11.349"/>
  </r>
  <r>
    <s v="UOA-23786-489"/>
    <x v="94"/>
    <x v="98"/>
    <s v="A-M-0.5"/>
    <n v="6"/>
    <x v="98"/>
    <s v="qveel2x@jugem.jp"/>
    <x v="0"/>
    <s v="Ara"/>
    <s v="M"/>
    <x v="1"/>
    <n v="6.75"/>
    <n v="40.5"/>
    <x v="2"/>
    <x v="0"/>
    <x v="0"/>
    <n v="3.6449999999999996"/>
  </r>
  <r>
    <s v="AJL-52941-018"/>
    <x v="95"/>
    <x v="99"/>
    <s v="E-D-1"/>
    <n v="2"/>
    <x v="99"/>
    <s v="lconyers2y@twitter.com"/>
    <x v="0"/>
    <s v="Exc"/>
    <s v="D"/>
    <x v="0"/>
    <n v="12.15"/>
    <n v="24.3"/>
    <x v="1"/>
    <x v="2"/>
    <x v="1"/>
    <n v="2.673"/>
  </r>
  <r>
    <s v="XSZ-84273-421"/>
    <x v="96"/>
    <x v="100"/>
    <s v="R-M-0.5"/>
    <n v="3"/>
    <x v="100"/>
    <s v="pwye2z@dagondesign.com"/>
    <x v="0"/>
    <s v="Rob"/>
    <s v="M"/>
    <x v="1"/>
    <n v="5.97"/>
    <n v="17.91"/>
    <x v="0"/>
    <x v="0"/>
    <x v="0"/>
    <n v="1.0745999999999998"/>
  </r>
  <r>
    <s v="NUN-48214-216"/>
    <x v="97"/>
    <x v="101"/>
    <s v="A-M-0.5"/>
    <n v="4"/>
    <x v="101"/>
    <s v=""/>
    <x v="0"/>
    <s v="Ara"/>
    <s v="M"/>
    <x v="1"/>
    <n v="6.75"/>
    <n v="27"/>
    <x v="2"/>
    <x v="0"/>
    <x v="1"/>
    <n v="2.4299999999999997"/>
  </r>
  <r>
    <s v="AKV-93064-769"/>
    <x v="98"/>
    <x v="102"/>
    <s v="L-D-0.5"/>
    <n v="1"/>
    <x v="102"/>
    <s v="tsheryn31@mtv.com"/>
    <x v="0"/>
    <s v="Lib"/>
    <s v="D"/>
    <x v="1"/>
    <n v="7.77"/>
    <n v="7.77"/>
    <x v="3"/>
    <x v="2"/>
    <x v="0"/>
    <n v="1.0101"/>
  </r>
  <r>
    <s v="BRB-40903-533"/>
    <x v="99"/>
    <x v="103"/>
    <s v="E-L-0.2"/>
    <n v="3"/>
    <x v="103"/>
    <s v="mredgrave32@cargocollective.com"/>
    <x v="0"/>
    <s v="Exc"/>
    <s v="L"/>
    <x v="3"/>
    <n v="4.4550000000000001"/>
    <n v="13.365"/>
    <x v="1"/>
    <x v="1"/>
    <x v="0"/>
    <n v="1.4701499999999998"/>
  </r>
  <r>
    <s v="GPR-19973-483"/>
    <x v="100"/>
    <x v="104"/>
    <s v="R-D-0.5"/>
    <n v="5"/>
    <x v="104"/>
    <s v="bfominov33@yale.edu"/>
    <x v="0"/>
    <s v="Rob"/>
    <s v="D"/>
    <x v="1"/>
    <n v="5.3699999999999992"/>
    <n v="26.849999999999994"/>
    <x v="0"/>
    <x v="2"/>
    <x v="1"/>
    <n v="1.6109999999999998"/>
  </r>
  <r>
    <s v="XIY-43041-882"/>
    <x v="101"/>
    <x v="105"/>
    <s v="A-M-1"/>
    <n v="1"/>
    <x v="105"/>
    <s v="scritchlow34@un.org"/>
    <x v="0"/>
    <s v="Ara"/>
    <s v="M"/>
    <x v="0"/>
    <n v="11.25"/>
    <n v="11.25"/>
    <x v="2"/>
    <x v="0"/>
    <x v="1"/>
    <n v="1.0125"/>
  </r>
  <r>
    <s v="YGY-98425-969"/>
    <x v="102"/>
    <x v="106"/>
    <s v="L-M-1"/>
    <n v="1"/>
    <x v="106"/>
    <s v="msteptow35@earthlink.net"/>
    <x v="1"/>
    <s v="Lib"/>
    <s v="M"/>
    <x v="0"/>
    <n v="14.55"/>
    <n v="14.55"/>
    <x v="3"/>
    <x v="0"/>
    <x v="1"/>
    <n v="1.8915000000000002"/>
  </r>
  <r>
    <s v="MSB-08397-648"/>
    <x v="103"/>
    <x v="107"/>
    <s v="R-L-0.2"/>
    <n v="4"/>
    <x v="107"/>
    <s v=""/>
    <x v="0"/>
    <s v="Rob"/>
    <s v="L"/>
    <x v="3"/>
    <n v="3.5849999999999995"/>
    <n v="14.339999999999998"/>
    <x v="0"/>
    <x v="1"/>
    <x v="1"/>
    <n v="0.86039999999999983"/>
  </r>
  <r>
    <s v="WDR-06028-345"/>
    <x v="104"/>
    <x v="108"/>
    <s v="L-L-1"/>
    <n v="1"/>
    <x v="108"/>
    <s v="imulliner37@pinterest.com"/>
    <x v="2"/>
    <s v="Lib"/>
    <s v="L"/>
    <x v="0"/>
    <n v="15.85"/>
    <n v="15.85"/>
    <x v="3"/>
    <x v="1"/>
    <x v="1"/>
    <n v="2.0605000000000002"/>
  </r>
  <r>
    <s v="MXM-42948-061"/>
    <x v="105"/>
    <x v="109"/>
    <s v="L-L-0.2"/>
    <n v="4"/>
    <x v="109"/>
    <s v="gstandley38@dion.ne.jp"/>
    <x v="1"/>
    <s v="Lib"/>
    <s v="L"/>
    <x v="3"/>
    <n v="4.7549999999999999"/>
    <n v="19.02"/>
    <x v="3"/>
    <x v="1"/>
    <x v="0"/>
    <n v="2.4725999999999999"/>
  </r>
  <r>
    <s v="MGQ-98961-173"/>
    <x v="11"/>
    <x v="110"/>
    <s v="L-L-0.5"/>
    <n v="4"/>
    <x v="110"/>
    <s v="bdrage39@youku.com"/>
    <x v="0"/>
    <s v="Lib"/>
    <s v="L"/>
    <x v="1"/>
    <n v="9.51"/>
    <n v="38.04"/>
    <x v="3"/>
    <x v="1"/>
    <x v="1"/>
    <n v="4.9451999999999998"/>
  </r>
  <r>
    <s v="RFH-64349-897"/>
    <x v="106"/>
    <x v="111"/>
    <s v="E-D-0.5"/>
    <n v="3"/>
    <x v="111"/>
    <s v="myallop3a@fema.gov"/>
    <x v="0"/>
    <s v="Exc"/>
    <s v="D"/>
    <x v="1"/>
    <n v="7.29"/>
    <n v="21.87"/>
    <x v="1"/>
    <x v="2"/>
    <x v="0"/>
    <n v="2.4057000000000004"/>
  </r>
  <r>
    <s v="TKL-20738-660"/>
    <x v="107"/>
    <x v="112"/>
    <s v="E-M-0.2"/>
    <n v="1"/>
    <x v="112"/>
    <s v="cswitsur3b@chronoengine.com"/>
    <x v="0"/>
    <s v="Exc"/>
    <s v="M"/>
    <x v="3"/>
    <n v="4.125"/>
    <n v="4.125"/>
    <x v="1"/>
    <x v="0"/>
    <x v="1"/>
    <n v="0.45374999999999999"/>
  </r>
  <r>
    <s v="TKL-20738-660"/>
    <x v="107"/>
    <x v="112"/>
    <s v="A-L-0.2"/>
    <n v="1"/>
    <x v="112"/>
    <s v="cswitsur3b@chronoengine.com"/>
    <x v="0"/>
    <s v="Ara"/>
    <s v="L"/>
    <x v="3"/>
    <n v="3.8849999999999998"/>
    <n v="3.8849999999999998"/>
    <x v="2"/>
    <x v="1"/>
    <x v="1"/>
    <n v="0.34964999999999996"/>
  </r>
  <r>
    <s v="TKL-20738-660"/>
    <x v="107"/>
    <x v="112"/>
    <s v="E-M-1"/>
    <n v="5"/>
    <x v="112"/>
    <s v="cswitsur3b@chronoengine.com"/>
    <x v="0"/>
    <s v="Exc"/>
    <s v="M"/>
    <x v="0"/>
    <n v="13.75"/>
    <n v="68.75"/>
    <x v="1"/>
    <x v="0"/>
    <x v="1"/>
    <n v="7.5625"/>
  </r>
  <r>
    <s v="GOW-03198-575"/>
    <x v="108"/>
    <x v="113"/>
    <s v="A-D-0.5"/>
    <n v="4"/>
    <x v="113"/>
    <s v="mludwell3e@blogger.com"/>
    <x v="0"/>
    <s v="Ara"/>
    <s v="D"/>
    <x v="1"/>
    <n v="5.97"/>
    <n v="23.88"/>
    <x v="2"/>
    <x v="2"/>
    <x v="0"/>
    <n v="2.1492"/>
  </r>
  <r>
    <s v="QJB-90477-635"/>
    <x v="109"/>
    <x v="114"/>
    <s v="L-L-2.5"/>
    <n v="4"/>
    <x v="114"/>
    <s v="dbeauchamp3f@usda.gov"/>
    <x v="0"/>
    <s v="Lib"/>
    <s v="L"/>
    <x v="2"/>
    <n v="36.454999999999998"/>
    <n v="145.82"/>
    <x v="3"/>
    <x v="1"/>
    <x v="1"/>
    <n v="18.956599999999998"/>
  </r>
  <r>
    <s v="MWP-46239-785"/>
    <x v="110"/>
    <x v="115"/>
    <s v="L-M-0.2"/>
    <n v="5"/>
    <x v="115"/>
    <s v="srodliff3g@ted.com"/>
    <x v="0"/>
    <s v="Lib"/>
    <s v="M"/>
    <x v="3"/>
    <n v="4.3650000000000002"/>
    <n v="21.825000000000003"/>
    <x v="3"/>
    <x v="0"/>
    <x v="0"/>
    <n v="2.83725"/>
  </r>
  <r>
    <s v="QDV-03406-248"/>
    <x v="111"/>
    <x v="116"/>
    <s v="L-M-0.5"/>
    <n v="3"/>
    <x v="116"/>
    <s v="swoodham3h@businesswire.com"/>
    <x v="1"/>
    <s v="Lib"/>
    <s v="M"/>
    <x v="1"/>
    <n v="8.73"/>
    <n v="26.19"/>
    <x v="3"/>
    <x v="0"/>
    <x v="0"/>
    <n v="3.4047000000000001"/>
  </r>
  <r>
    <s v="GPH-40635-105"/>
    <x v="112"/>
    <x v="117"/>
    <s v="A-M-1"/>
    <n v="1"/>
    <x v="117"/>
    <s v="hsynnot3i@about.com"/>
    <x v="0"/>
    <s v="Ara"/>
    <s v="M"/>
    <x v="0"/>
    <n v="11.25"/>
    <n v="11.25"/>
    <x v="2"/>
    <x v="0"/>
    <x v="1"/>
    <n v="1.0125"/>
  </r>
  <r>
    <s v="JOM-80930-071"/>
    <x v="113"/>
    <x v="118"/>
    <s v="L-D-1"/>
    <n v="6"/>
    <x v="118"/>
    <s v="rlepere3j@shop-pro.jp"/>
    <x v="1"/>
    <s v="Lib"/>
    <s v="D"/>
    <x v="0"/>
    <n v="12.95"/>
    <n v="77.699999999999989"/>
    <x v="3"/>
    <x v="2"/>
    <x v="1"/>
    <n v="10.100999999999999"/>
  </r>
  <r>
    <s v="OIL-26493-755"/>
    <x v="114"/>
    <x v="119"/>
    <s v="A-M-0.5"/>
    <n v="1"/>
    <x v="119"/>
    <s v="twoofinden3k@businesswire.com"/>
    <x v="0"/>
    <s v="Ara"/>
    <s v="M"/>
    <x v="1"/>
    <n v="6.75"/>
    <n v="6.75"/>
    <x v="2"/>
    <x v="0"/>
    <x v="1"/>
    <n v="0.60749999999999993"/>
  </r>
  <r>
    <s v="CYV-13426-645"/>
    <x v="115"/>
    <x v="120"/>
    <s v="E-D-1"/>
    <n v="1"/>
    <x v="120"/>
    <s v="edacca3l@google.pl"/>
    <x v="0"/>
    <s v="Exc"/>
    <s v="D"/>
    <x v="0"/>
    <n v="12.15"/>
    <n v="12.15"/>
    <x v="1"/>
    <x v="2"/>
    <x v="0"/>
    <n v="1.3365"/>
  </r>
  <r>
    <s v="WRP-39846-614"/>
    <x v="49"/>
    <x v="121"/>
    <s v="A-L-2.5"/>
    <n v="5"/>
    <x v="121"/>
    <s v=""/>
    <x v="1"/>
    <s v="Ara"/>
    <s v="L"/>
    <x v="2"/>
    <n v="29.784999999999997"/>
    <n v="148.92499999999998"/>
    <x v="2"/>
    <x v="1"/>
    <x v="0"/>
    <n v="13.403249999999998"/>
  </r>
  <r>
    <s v="VDZ-76673-968"/>
    <x v="116"/>
    <x v="122"/>
    <s v="E-D-0.5"/>
    <n v="2"/>
    <x v="122"/>
    <s v="bhindsberg3n@blogs.com"/>
    <x v="0"/>
    <s v="Exc"/>
    <s v="D"/>
    <x v="1"/>
    <n v="7.29"/>
    <n v="14.58"/>
    <x v="1"/>
    <x v="2"/>
    <x v="0"/>
    <n v="1.6038000000000001"/>
  </r>
  <r>
    <s v="VTV-03546-175"/>
    <x v="117"/>
    <x v="123"/>
    <s v="A-L-2.5"/>
    <n v="5"/>
    <x v="123"/>
    <s v="orobins3o@salon.com"/>
    <x v="0"/>
    <s v="Ara"/>
    <s v="L"/>
    <x v="2"/>
    <n v="29.784999999999997"/>
    <n v="148.92499999999998"/>
    <x v="2"/>
    <x v="1"/>
    <x v="0"/>
    <n v="13.403249999999998"/>
  </r>
  <r>
    <s v="GHR-72274-715"/>
    <x v="118"/>
    <x v="124"/>
    <s v="L-D-1"/>
    <n v="1"/>
    <x v="124"/>
    <s v="osyseland3p@independent.co.uk"/>
    <x v="0"/>
    <s v="Lib"/>
    <s v="D"/>
    <x v="0"/>
    <n v="12.95"/>
    <n v="12.95"/>
    <x v="3"/>
    <x v="2"/>
    <x v="1"/>
    <n v="1.6835"/>
  </r>
  <r>
    <s v="ZGK-97262-313"/>
    <x v="119"/>
    <x v="125"/>
    <s v="E-M-2.5"/>
    <n v="3"/>
    <x v="125"/>
    <s v=""/>
    <x v="0"/>
    <s v="Exc"/>
    <s v="M"/>
    <x v="2"/>
    <n v="31.624999999999996"/>
    <n v="94.874999999999986"/>
    <x v="1"/>
    <x v="0"/>
    <x v="0"/>
    <n v="10.436249999999999"/>
  </r>
  <r>
    <s v="ZFS-30776-804"/>
    <x v="120"/>
    <x v="126"/>
    <s v="A-L-0.5"/>
    <n v="5"/>
    <x v="126"/>
    <s v="bmcamish2e@tripadvisor.com"/>
    <x v="0"/>
    <s v="Ara"/>
    <s v="L"/>
    <x v="1"/>
    <n v="7.77"/>
    <n v="38.849999999999994"/>
    <x v="2"/>
    <x v="1"/>
    <x v="0"/>
    <n v="3.4964999999999997"/>
  </r>
  <r>
    <s v="QUU-91729-492"/>
    <x v="121"/>
    <x v="127"/>
    <s v="A-D-0.2"/>
    <n v="4"/>
    <x v="127"/>
    <s v="lkeenleyside3s@topsy.com"/>
    <x v="0"/>
    <s v="Ara"/>
    <s v="D"/>
    <x v="3"/>
    <n v="2.9849999999999999"/>
    <n v="11.94"/>
    <x v="2"/>
    <x v="2"/>
    <x v="1"/>
    <n v="1.0746"/>
  </r>
  <r>
    <s v="PVI-72795-960"/>
    <x v="122"/>
    <x v="128"/>
    <s v="E-L-2.5"/>
    <n v="3"/>
    <x v="128"/>
    <s v=""/>
    <x v="1"/>
    <s v="Exc"/>
    <s v="L"/>
    <x v="2"/>
    <n v="34.154999999999994"/>
    <n v="102.46499999999997"/>
    <x v="1"/>
    <x v="1"/>
    <x v="1"/>
    <n v="11.271149999999999"/>
  </r>
  <r>
    <s v="PPP-78935-365"/>
    <x v="123"/>
    <x v="129"/>
    <s v="E-D-1"/>
    <n v="4"/>
    <x v="129"/>
    <s v=""/>
    <x v="0"/>
    <s v="Exc"/>
    <s v="D"/>
    <x v="0"/>
    <n v="12.15"/>
    <n v="48.6"/>
    <x v="1"/>
    <x v="2"/>
    <x v="1"/>
    <n v="5.3460000000000001"/>
  </r>
  <r>
    <s v="JUO-34131-517"/>
    <x v="124"/>
    <x v="130"/>
    <s v="L-D-1"/>
    <n v="6"/>
    <x v="130"/>
    <s v=""/>
    <x v="0"/>
    <s v="Lib"/>
    <s v="D"/>
    <x v="0"/>
    <n v="12.95"/>
    <n v="77.699999999999989"/>
    <x v="3"/>
    <x v="2"/>
    <x v="0"/>
    <n v="10.100999999999999"/>
  </r>
  <r>
    <s v="ZJE-89333-489"/>
    <x v="125"/>
    <x v="131"/>
    <s v="L-D-2.5"/>
    <n v="1"/>
    <x v="131"/>
    <s v="vkundt3w@bigcartel.com"/>
    <x v="1"/>
    <s v="Lib"/>
    <s v="D"/>
    <x v="2"/>
    <n v="29.784999999999997"/>
    <n v="29.784999999999997"/>
    <x v="3"/>
    <x v="2"/>
    <x v="0"/>
    <n v="3.8720499999999998"/>
  </r>
  <r>
    <s v="LOO-35324-159"/>
    <x v="126"/>
    <x v="132"/>
    <s v="A-L-0.2"/>
    <n v="4"/>
    <x v="132"/>
    <s v="bbett3x@google.de"/>
    <x v="0"/>
    <s v="Ara"/>
    <s v="L"/>
    <x v="3"/>
    <n v="3.8849999999999998"/>
    <n v="15.54"/>
    <x v="2"/>
    <x v="1"/>
    <x v="0"/>
    <n v="1.3985999999999998"/>
  </r>
  <r>
    <s v="JBQ-93412-846"/>
    <x v="127"/>
    <x v="133"/>
    <s v="E-L-2.5"/>
    <n v="4"/>
    <x v="133"/>
    <s v=""/>
    <x v="1"/>
    <s v="Exc"/>
    <s v="L"/>
    <x v="2"/>
    <n v="34.154999999999994"/>
    <n v="136.61999999999998"/>
    <x v="1"/>
    <x v="1"/>
    <x v="0"/>
    <n v="15.028199999999998"/>
  </r>
  <r>
    <s v="EHX-66333-637"/>
    <x v="128"/>
    <x v="134"/>
    <s v="L-M-0.5"/>
    <n v="2"/>
    <x v="134"/>
    <s v="dstaite3z@scientificamerican.com"/>
    <x v="0"/>
    <s v="Lib"/>
    <s v="M"/>
    <x v="1"/>
    <n v="8.73"/>
    <n v="17.46"/>
    <x v="3"/>
    <x v="0"/>
    <x v="1"/>
    <n v="2.2698"/>
  </r>
  <r>
    <s v="WXG-25759-236"/>
    <x v="103"/>
    <x v="135"/>
    <s v="E-L-2.5"/>
    <n v="2"/>
    <x v="135"/>
    <s v="wkeyse40@apple.com"/>
    <x v="0"/>
    <s v="Exc"/>
    <s v="L"/>
    <x v="2"/>
    <n v="34.154999999999994"/>
    <n v="68.309999999999988"/>
    <x v="1"/>
    <x v="1"/>
    <x v="0"/>
    <n v="7.5140999999999991"/>
  </r>
  <r>
    <s v="QNA-31113-984"/>
    <x v="129"/>
    <x v="136"/>
    <s v="L-M-0.2"/>
    <n v="4"/>
    <x v="136"/>
    <s v="oclausenthue41@marriott.com"/>
    <x v="0"/>
    <s v="Lib"/>
    <s v="M"/>
    <x v="3"/>
    <n v="4.3650000000000002"/>
    <n v="17.46"/>
    <x v="3"/>
    <x v="0"/>
    <x v="1"/>
    <n v="2.2698"/>
  </r>
  <r>
    <s v="ZWI-52029-159"/>
    <x v="130"/>
    <x v="137"/>
    <s v="L-M-1"/>
    <n v="3"/>
    <x v="137"/>
    <s v="lfrancisco42@fema.gov"/>
    <x v="0"/>
    <s v="Lib"/>
    <s v="M"/>
    <x v="0"/>
    <n v="14.55"/>
    <n v="43.650000000000006"/>
    <x v="3"/>
    <x v="0"/>
    <x v="1"/>
    <n v="5.6745000000000001"/>
  </r>
  <r>
    <s v="ZWI-52029-159"/>
    <x v="130"/>
    <x v="137"/>
    <s v="E-M-1"/>
    <n v="2"/>
    <x v="137"/>
    <s v="lfrancisco42@fema.gov"/>
    <x v="0"/>
    <s v="Exc"/>
    <s v="M"/>
    <x v="0"/>
    <n v="13.75"/>
    <n v="27.5"/>
    <x v="1"/>
    <x v="0"/>
    <x v="1"/>
    <n v="3.0249999999999999"/>
  </r>
  <r>
    <s v="DFS-49954-707"/>
    <x v="131"/>
    <x v="138"/>
    <s v="E-D-0.2"/>
    <n v="5"/>
    <x v="138"/>
    <s v="gskingle44@clickbank.net"/>
    <x v="0"/>
    <s v="Exc"/>
    <s v="D"/>
    <x v="3"/>
    <n v="3.645"/>
    <n v="18.225000000000001"/>
    <x v="1"/>
    <x v="2"/>
    <x v="0"/>
    <n v="2.00475"/>
  </r>
  <r>
    <s v="VYP-89830-878"/>
    <x v="132"/>
    <x v="139"/>
    <s v="A-M-2.5"/>
    <n v="2"/>
    <x v="139"/>
    <s v=""/>
    <x v="0"/>
    <s v="Ara"/>
    <s v="M"/>
    <x v="2"/>
    <n v="25.874999999999996"/>
    <n v="51.749999999999993"/>
    <x v="2"/>
    <x v="0"/>
    <x v="0"/>
    <n v="4.6574999999999989"/>
  </r>
  <r>
    <s v="AMT-40418-362"/>
    <x v="133"/>
    <x v="140"/>
    <s v="L-D-1"/>
    <n v="1"/>
    <x v="140"/>
    <s v="jbalsillie46@princeton.edu"/>
    <x v="0"/>
    <s v="Lib"/>
    <s v="D"/>
    <x v="0"/>
    <n v="12.95"/>
    <n v="12.95"/>
    <x v="3"/>
    <x v="2"/>
    <x v="0"/>
    <n v="1.6835"/>
  </r>
  <r>
    <s v="NFQ-23241-793"/>
    <x v="134"/>
    <x v="141"/>
    <s v="A-M-1"/>
    <n v="3"/>
    <x v="141"/>
    <s v=""/>
    <x v="0"/>
    <s v="Ara"/>
    <s v="M"/>
    <x v="0"/>
    <n v="11.25"/>
    <n v="33.75"/>
    <x v="2"/>
    <x v="0"/>
    <x v="0"/>
    <n v="3.0374999999999996"/>
  </r>
  <r>
    <s v="JQK-64922-985"/>
    <x v="113"/>
    <x v="142"/>
    <s v="R-M-2.5"/>
    <n v="3"/>
    <x v="142"/>
    <s v="bleffek48@ning.com"/>
    <x v="0"/>
    <s v="Rob"/>
    <s v="M"/>
    <x v="2"/>
    <n v="22.884999999999998"/>
    <n v="68.655000000000001"/>
    <x v="0"/>
    <x v="0"/>
    <x v="0"/>
    <n v="4.1192999999999991"/>
  </r>
  <r>
    <s v="YET-17732-678"/>
    <x v="135"/>
    <x v="143"/>
    <s v="R-D-0.2"/>
    <n v="1"/>
    <x v="143"/>
    <s v=""/>
    <x v="0"/>
    <s v="Rob"/>
    <s v="D"/>
    <x v="3"/>
    <n v="2.6849999999999996"/>
    <n v="2.6849999999999996"/>
    <x v="0"/>
    <x v="2"/>
    <x v="1"/>
    <n v="0.16109999999999997"/>
  </r>
  <r>
    <s v="NKW-24945-846"/>
    <x v="35"/>
    <x v="144"/>
    <s v="A-D-2.5"/>
    <n v="5"/>
    <x v="144"/>
    <s v="jpray4a@youtube.com"/>
    <x v="0"/>
    <s v="Ara"/>
    <s v="D"/>
    <x v="2"/>
    <n v="22.884999999999998"/>
    <n v="114.42499999999998"/>
    <x v="2"/>
    <x v="2"/>
    <x v="1"/>
    <n v="10.298249999999998"/>
  </r>
  <r>
    <s v="VKA-82720-513"/>
    <x v="136"/>
    <x v="145"/>
    <s v="A-M-2.5"/>
    <n v="6"/>
    <x v="145"/>
    <s v="gholborn4b@ow.ly"/>
    <x v="0"/>
    <s v="Ara"/>
    <s v="M"/>
    <x v="2"/>
    <n v="25.874999999999996"/>
    <n v="155.24999999999997"/>
    <x v="2"/>
    <x v="0"/>
    <x v="0"/>
    <n v="13.972499999999997"/>
  </r>
  <r>
    <s v="THA-60599-417"/>
    <x v="137"/>
    <x v="146"/>
    <s v="A-M-2.5"/>
    <n v="3"/>
    <x v="146"/>
    <s v="fkeinrat4c@dailymail.co.uk"/>
    <x v="0"/>
    <s v="Ara"/>
    <s v="M"/>
    <x v="2"/>
    <n v="25.874999999999996"/>
    <n v="77.624999999999986"/>
    <x v="2"/>
    <x v="0"/>
    <x v="0"/>
    <n v="6.9862499999999983"/>
  </r>
  <r>
    <s v="MEK-39769-035"/>
    <x v="138"/>
    <x v="147"/>
    <s v="R-D-2.5"/>
    <n v="3"/>
    <x v="147"/>
    <s v="pyea4d@aol.com"/>
    <x v="1"/>
    <s v="Rob"/>
    <s v="D"/>
    <x v="2"/>
    <n v="20.584999999999997"/>
    <n v="61.754999999999995"/>
    <x v="0"/>
    <x v="2"/>
    <x v="1"/>
    <n v="3.7052999999999994"/>
  </r>
  <r>
    <s v="JAF-18294-750"/>
    <x v="139"/>
    <x v="148"/>
    <s v="R-D-2.5"/>
    <n v="6"/>
    <x v="148"/>
    <s v=""/>
    <x v="0"/>
    <s v="Rob"/>
    <s v="D"/>
    <x v="2"/>
    <n v="20.584999999999997"/>
    <n v="123.50999999999999"/>
    <x v="0"/>
    <x v="2"/>
    <x v="0"/>
    <n v="7.4105999999999987"/>
  </r>
  <r>
    <s v="TME-59627-221"/>
    <x v="140"/>
    <x v="149"/>
    <s v="L-L-2.5"/>
    <n v="6"/>
    <x v="149"/>
    <s v=""/>
    <x v="0"/>
    <s v="Lib"/>
    <s v="L"/>
    <x v="2"/>
    <n v="36.454999999999998"/>
    <n v="218.73"/>
    <x v="3"/>
    <x v="1"/>
    <x v="1"/>
    <n v="28.434899999999999"/>
  </r>
  <r>
    <s v="UDG-65353-824"/>
    <x v="141"/>
    <x v="150"/>
    <s v="E-M-0.5"/>
    <n v="4"/>
    <x v="150"/>
    <s v="kswede4g@addthis.com"/>
    <x v="0"/>
    <s v="Exc"/>
    <s v="M"/>
    <x v="1"/>
    <n v="8.25"/>
    <n v="33"/>
    <x v="1"/>
    <x v="0"/>
    <x v="1"/>
    <n v="3.63"/>
  </r>
  <r>
    <s v="ENQ-42923-176"/>
    <x v="142"/>
    <x v="151"/>
    <s v="A-L-0.5"/>
    <n v="3"/>
    <x v="151"/>
    <s v="lrubrow4h@microsoft.com"/>
    <x v="0"/>
    <s v="Ara"/>
    <s v="L"/>
    <x v="1"/>
    <n v="7.77"/>
    <n v="23.31"/>
    <x v="2"/>
    <x v="1"/>
    <x v="1"/>
    <n v="2.0978999999999997"/>
  </r>
  <r>
    <s v="CBT-55781-720"/>
    <x v="143"/>
    <x v="152"/>
    <s v="E-D-0.5"/>
    <n v="3"/>
    <x v="152"/>
    <s v="dtift4i@netvibes.com"/>
    <x v="0"/>
    <s v="Exc"/>
    <s v="D"/>
    <x v="1"/>
    <n v="7.29"/>
    <n v="21.87"/>
    <x v="1"/>
    <x v="2"/>
    <x v="0"/>
    <n v="2.4057000000000004"/>
  </r>
  <r>
    <s v="NEU-86533-016"/>
    <x v="144"/>
    <x v="153"/>
    <s v="R-D-0.2"/>
    <n v="6"/>
    <x v="153"/>
    <s v="gschonfeld4j@oracle.com"/>
    <x v="0"/>
    <s v="Rob"/>
    <s v="D"/>
    <x v="3"/>
    <n v="2.6849999999999996"/>
    <n v="16.11"/>
    <x v="0"/>
    <x v="2"/>
    <x v="1"/>
    <n v="0.96659999999999979"/>
  </r>
  <r>
    <s v="BYU-58154-603"/>
    <x v="145"/>
    <x v="154"/>
    <s v="E-D-0.5"/>
    <n v="4"/>
    <x v="154"/>
    <s v="cfeye4k@google.co.jp"/>
    <x v="1"/>
    <s v="Exc"/>
    <s v="D"/>
    <x v="1"/>
    <n v="7.29"/>
    <n v="29.16"/>
    <x v="1"/>
    <x v="2"/>
    <x v="1"/>
    <n v="3.2076000000000002"/>
  </r>
  <r>
    <s v="EHJ-05910-257"/>
    <x v="146"/>
    <x v="155"/>
    <s v="R-D-1"/>
    <n v="6"/>
    <x v="155"/>
    <s v=""/>
    <x v="0"/>
    <s v="Rob"/>
    <s v="D"/>
    <x v="0"/>
    <n v="8.9499999999999993"/>
    <n v="53.699999999999996"/>
    <x v="0"/>
    <x v="2"/>
    <x v="0"/>
    <n v="3.2219999999999995"/>
  </r>
  <r>
    <s v="EIL-44855-309"/>
    <x v="147"/>
    <x v="156"/>
    <s v="R-D-0.5"/>
    <n v="5"/>
    <x v="156"/>
    <s v=""/>
    <x v="0"/>
    <s v="Rob"/>
    <s v="D"/>
    <x v="1"/>
    <n v="5.3699999999999992"/>
    <n v="26.849999999999994"/>
    <x v="0"/>
    <x v="2"/>
    <x v="0"/>
    <n v="1.6109999999999998"/>
  </r>
  <r>
    <s v="HCA-87224-420"/>
    <x v="148"/>
    <x v="157"/>
    <s v="E-M-0.5"/>
    <n v="5"/>
    <x v="157"/>
    <s v="tfero4n@comsenz.com"/>
    <x v="0"/>
    <s v="Exc"/>
    <s v="M"/>
    <x v="1"/>
    <n v="8.25"/>
    <n v="41.25"/>
    <x v="1"/>
    <x v="0"/>
    <x v="0"/>
    <n v="4.5374999999999996"/>
  </r>
  <r>
    <s v="ABO-29054-365"/>
    <x v="149"/>
    <x v="158"/>
    <s v="A-M-0.5"/>
    <n v="6"/>
    <x v="158"/>
    <s v=""/>
    <x v="1"/>
    <s v="Ara"/>
    <s v="M"/>
    <x v="1"/>
    <n v="6.75"/>
    <n v="40.5"/>
    <x v="2"/>
    <x v="0"/>
    <x v="1"/>
    <n v="3.6449999999999996"/>
  </r>
  <r>
    <s v="TKN-58485-031"/>
    <x v="150"/>
    <x v="159"/>
    <s v="R-D-1"/>
    <n v="2"/>
    <x v="159"/>
    <s v="fdauney4p@sphinn.com"/>
    <x v="1"/>
    <s v="Rob"/>
    <s v="D"/>
    <x v="0"/>
    <n v="8.9499999999999993"/>
    <n v="17.899999999999999"/>
    <x v="0"/>
    <x v="2"/>
    <x v="1"/>
    <n v="1.0739999999999998"/>
  </r>
  <r>
    <s v="RCK-04069-371"/>
    <x v="151"/>
    <x v="160"/>
    <s v="E-L-2.5"/>
    <n v="2"/>
    <x v="160"/>
    <s v="searley4q@youku.com"/>
    <x v="2"/>
    <s v="Exc"/>
    <s v="L"/>
    <x v="2"/>
    <n v="34.154999999999994"/>
    <n v="68.309999999999988"/>
    <x v="1"/>
    <x v="1"/>
    <x v="1"/>
    <n v="7.5140999999999991"/>
  </r>
  <r>
    <s v="IRJ-67095-738"/>
    <x v="13"/>
    <x v="161"/>
    <s v="E-M-2.5"/>
    <n v="2"/>
    <x v="161"/>
    <s v="mchamberlayne4r@bigcartel.com"/>
    <x v="0"/>
    <s v="Exc"/>
    <s v="M"/>
    <x v="2"/>
    <n v="31.624999999999996"/>
    <n v="63.249999999999993"/>
    <x v="1"/>
    <x v="0"/>
    <x v="0"/>
    <n v="6.9574999999999996"/>
  </r>
  <r>
    <s v="VEA-31961-977"/>
    <x v="79"/>
    <x v="162"/>
    <s v="E-D-0.5"/>
    <n v="3"/>
    <x v="162"/>
    <s v="bflaherty4s@moonfruit.com"/>
    <x v="1"/>
    <s v="Exc"/>
    <s v="D"/>
    <x v="1"/>
    <n v="7.29"/>
    <n v="21.87"/>
    <x v="1"/>
    <x v="2"/>
    <x v="1"/>
    <n v="2.4057000000000004"/>
  </r>
  <r>
    <s v="BAF-42286-205"/>
    <x v="152"/>
    <x v="163"/>
    <s v="R-M-2.5"/>
    <n v="4"/>
    <x v="163"/>
    <s v="ocolbeck4t@sina.com.cn"/>
    <x v="0"/>
    <s v="Rob"/>
    <s v="M"/>
    <x v="2"/>
    <n v="22.884999999999998"/>
    <n v="91.539999999999992"/>
    <x v="0"/>
    <x v="0"/>
    <x v="1"/>
    <n v="5.4923999999999991"/>
  </r>
  <r>
    <s v="WOR-52762-511"/>
    <x v="153"/>
    <x v="164"/>
    <s v="E-L-2.5"/>
    <n v="6"/>
    <x v="164"/>
    <s v=""/>
    <x v="0"/>
    <s v="Exc"/>
    <s v="L"/>
    <x v="2"/>
    <n v="34.154999999999994"/>
    <n v="204.92999999999995"/>
    <x v="1"/>
    <x v="1"/>
    <x v="0"/>
    <n v="22.542299999999997"/>
  </r>
  <r>
    <s v="ZWK-03995-815"/>
    <x v="154"/>
    <x v="165"/>
    <s v="E-M-2.5"/>
    <n v="2"/>
    <x v="165"/>
    <s v="ehobbing4v@nsw.gov.au"/>
    <x v="0"/>
    <s v="Exc"/>
    <s v="M"/>
    <x v="2"/>
    <n v="31.624999999999996"/>
    <n v="63.249999999999993"/>
    <x v="1"/>
    <x v="0"/>
    <x v="0"/>
    <n v="6.9574999999999996"/>
  </r>
  <r>
    <s v="CKF-43291-846"/>
    <x v="155"/>
    <x v="166"/>
    <s v="E-L-2.5"/>
    <n v="1"/>
    <x v="166"/>
    <s v="othynne4w@auda.org.au"/>
    <x v="0"/>
    <s v="Exc"/>
    <s v="L"/>
    <x v="2"/>
    <n v="34.154999999999994"/>
    <n v="34.154999999999994"/>
    <x v="1"/>
    <x v="1"/>
    <x v="0"/>
    <n v="3.7570499999999996"/>
  </r>
  <r>
    <s v="RMW-74160-339"/>
    <x v="156"/>
    <x v="167"/>
    <s v="R-L-2.5"/>
    <n v="4"/>
    <x v="167"/>
    <s v="eheining4x@flickr.com"/>
    <x v="0"/>
    <s v="Rob"/>
    <s v="L"/>
    <x v="2"/>
    <n v="27.484999999999996"/>
    <n v="109.93999999999998"/>
    <x v="0"/>
    <x v="1"/>
    <x v="0"/>
    <n v="6.5963999999999992"/>
  </r>
  <r>
    <s v="FMT-94584-786"/>
    <x v="22"/>
    <x v="168"/>
    <s v="A-L-1"/>
    <n v="2"/>
    <x v="168"/>
    <s v="kmelloi4y@imdb.com"/>
    <x v="0"/>
    <s v="Ara"/>
    <s v="L"/>
    <x v="0"/>
    <n v="12.95"/>
    <n v="25.9"/>
    <x v="2"/>
    <x v="1"/>
    <x v="1"/>
    <n v="2.331"/>
  </r>
  <r>
    <s v="NWT-78222-575"/>
    <x v="157"/>
    <x v="169"/>
    <s v="A-D-0.2"/>
    <n v="1"/>
    <x v="169"/>
    <s v=""/>
    <x v="1"/>
    <s v="Ara"/>
    <s v="D"/>
    <x v="3"/>
    <n v="2.9849999999999999"/>
    <n v="2.9849999999999999"/>
    <x v="2"/>
    <x v="2"/>
    <x v="1"/>
    <n v="0.26865"/>
  </r>
  <r>
    <s v="EOI-02511-919"/>
    <x v="158"/>
    <x v="170"/>
    <s v="E-L-0.2"/>
    <n v="5"/>
    <x v="170"/>
    <s v="amussen50@51.la"/>
    <x v="0"/>
    <s v="Exc"/>
    <s v="L"/>
    <x v="3"/>
    <n v="4.4550000000000001"/>
    <n v="22.274999999999999"/>
    <x v="1"/>
    <x v="1"/>
    <x v="1"/>
    <n v="2.45025"/>
  </r>
  <r>
    <s v="EOI-02511-919"/>
    <x v="158"/>
    <x v="170"/>
    <s v="A-D-0.5"/>
    <n v="5"/>
    <x v="170"/>
    <s v="amussen50@51.la"/>
    <x v="0"/>
    <s v="Ara"/>
    <s v="D"/>
    <x v="1"/>
    <n v="5.97"/>
    <n v="29.849999999999998"/>
    <x v="2"/>
    <x v="2"/>
    <x v="1"/>
    <n v="2.6865000000000001"/>
  </r>
  <r>
    <s v="UCT-03935-589"/>
    <x v="78"/>
    <x v="171"/>
    <s v="R-D-0.5"/>
    <n v="6"/>
    <x v="171"/>
    <s v="amundford52@nbcnews.com"/>
    <x v="0"/>
    <s v="Rob"/>
    <s v="D"/>
    <x v="1"/>
    <n v="5.3699999999999992"/>
    <n v="32.22"/>
    <x v="0"/>
    <x v="2"/>
    <x v="1"/>
    <n v="1.9331999999999996"/>
  </r>
  <r>
    <s v="SBI-60013-494"/>
    <x v="159"/>
    <x v="172"/>
    <s v="E-M-0.2"/>
    <n v="2"/>
    <x v="172"/>
    <s v="twalas53@google.ca"/>
    <x v="0"/>
    <s v="Exc"/>
    <s v="M"/>
    <x v="3"/>
    <n v="4.125"/>
    <n v="8.25"/>
    <x v="1"/>
    <x v="0"/>
    <x v="1"/>
    <n v="0.90749999999999997"/>
  </r>
  <r>
    <s v="QRA-73277-814"/>
    <x v="160"/>
    <x v="173"/>
    <s v="A-L-0.5"/>
    <n v="4"/>
    <x v="173"/>
    <s v="iblazewicz54@thetimes.co.uk"/>
    <x v="0"/>
    <s v="Ara"/>
    <s v="L"/>
    <x v="1"/>
    <n v="7.77"/>
    <n v="31.08"/>
    <x v="2"/>
    <x v="1"/>
    <x v="1"/>
    <n v="2.7971999999999997"/>
  </r>
  <r>
    <s v="EQE-31648-909"/>
    <x v="161"/>
    <x v="174"/>
    <s v="E-D-0.5"/>
    <n v="5"/>
    <x v="174"/>
    <s v="arizzetti55@naver.com"/>
    <x v="0"/>
    <s v="Exc"/>
    <s v="D"/>
    <x v="1"/>
    <n v="7.29"/>
    <n v="36.450000000000003"/>
    <x v="1"/>
    <x v="2"/>
    <x v="0"/>
    <n v="4.0095000000000001"/>
  </r>
  <r>
    <s v="QOO-24615-950"/>
    <x v="162"/>
    <x v="175"/>
    <s v="R-M-2.5"/>
    <n v="3"/>
    <x v="175"/>
    <s v="mmeriet56@noaa.gov"/>
    <x v="0"/>
    <s v="Rob"/>
    <s v="M"/>
    <x v="2"/>
    <n v="22.884999999999998"/>
    <n v="68.655000000000001"/>
    <x v="0"/>
    <x v="0"/>
    <x v="1"/>
    <n v="4.1192999999999991"/>
  </r>
  <r>
    <s v="WDV-73864-037"/>
    <x v="70"/>
    <x v="176"/>
    <s v="L-M-0.5"/>
    <n v="5"/>
    <x v="176"/>
    <s v="lpratt57@netvibes.com"/>
    <x v="0"/>
    <s v="Lib"/>
    <s v="M"/>
    <x v="1"/>
    <n v="8.73"/>
    <n v="43.650000000000006"/>
    <x v="3"/>
    <x v="0"/>
    <x v="0"/>
    <n v="5.6745000000000001"/>
  </r>
  <r>
    <s v="PKR-88575-066"/>
    <x v="163"/>
    <x v="177"/>
    <s v="E-L-0.2"/>
    <n v="1"/>
    <x v="177"/>
    <s v="akitchingham58@com.com"/>
    <x v="0"/>
    <s v="Exc"/>
    <s v="L"/>
    <x v="3"/>
    <n v="4.4550000000000001"/>
    <n v="4.4550000000000001"/>
    <x v="1"/>
    <x v="1"/>
    <x v="0"/>
    <n v="0.49004999999999999"/>
  </r>
  <r>
    <s v="BWR-85735-955"/>
    <x v="153"/>
    <x v="178"/>
    <s v="L-M-1"/>
    <n v="3"/>
    <x v="178"/>
    <s v="bbartholin59@xinhuanet.com"/>
    <x v="0"/>
    <s v="Lib"/>
    <s v="M"/>
    <x v="0"/>
    <n v="14.55"/>
    <n v="43.650000000000006"/>
    <x v="3"/>
    <x v="0"/>
    <x v="0"/>
    <n v="5.6745000000000001"/>
  </r>
  <r>
    <s v="YFX-64795-136"/>
    <x v="164"/>
    <x v="179"/>
    <s v="L-M-2.5"/>
    <n v="1"/>
    <x v="179"/>
    <s v="mprinn5a@usa.gov"/>
    <x v="0"/>
    <s v="Lib"/>
    <s v="M"/>
    <x v="2"/>
    <n v="33.464999999999996"/>
    <n v="33.464999999999996"/>
    <x v="3"/>
    <x v="0"/>
    <x v="0"/>
    <n v="4.3504499999999995"/>
  </r>
  <r>
    <s v="DDO-71442-967"/>
    <x v="165"/>
    <x v="180"/>
    <s v="L-D-0.2"/>
    <n v="5"/>
    <x v="180"/>
    <s v="abaudino5b@netvibes.com"/>
    <x v="0"/>
    <s v="Lib"/>
    <s v="D"/>
    <x v="3"/>
    <n v="3.8849999999999998"/>
    <n v="19.424999999999997"/>
    <x v="3"/>
    <x v="2"/>
    <x v="0"/>
    <n v="2.5252499999999998"/>
  </r>
  <r>
    <s v="ILQ-11027-588"/>
    <x v="166"/>
    <x v="181"/>
    <s v="E-D-1"/>
    <n v="6"/>
    <x v="181"/>
    <s v="ppetrushanko5c@blinklist.com"/>
    <x v="1"/>
    <s v="Exc"/>
    <s v="D"/>
    <x v="0"/>
    <n v="12.15"/>
    <n v="72.900000000000006"/>
    <x v="1"/>
    <x v="2"/>
    <x v="0"/>
    <n v="8.0190000000000001"/>
  </r>
  <r>
    <s v="KRZ-13868-122"/>
    <x v="167"/>
    <x v="182"/>
    <s v="E-L-1"/>
    <n v="3"/>
    <x v="182"/>
    <s v=""/>
    <x v="0"/>
    <s v="Exc"/>
    <s v="L"/>
    <x v="0"/>
    <n v="14.85"/>
    <n v="44.55"/>
    <x v="1"/>
    <x v="1"/>
    <x v="1"/>
    <n v="4.9005000000000001"/>
  </r>
  <r>
    <s v="VRM-93594-914"/>
    <x v="168"/>
    <x v="183"/>
    <s v="E-D-0.5"/>
    <n v="5"/>
    <x v="183"/>
    <s v="elaird5e@bing.com"/>
    <x v="0"/>
    <s v="Exc"/>
    <s v="D"/>
    <x v="1"/>
    <n v="7.29"/>
    <n v="36.450000000000003"/>
    <x v="1"/>
    <x v="2"/>
    <x v="1"/>
    <n v="4.0095000000000001"/>
  </r>
  <r>
    <s v="HXL-22497-359"/>
    <x v="169"/>
    <x v="184"/>
    <s v="A-L-1"/>
    <n v="3"/>
    <x v="184"/>
    <s v="mhowsden5f@infoseek.co.jp"/>
    <x v="0"/>
    <s v="Ara"/>
    <s v="L"/>
    <x v="0"/>
    <n v="12.95"/>
    <n v="38.849999999999994"/>
    <x v="2"/>
    <x v="1"/>
    <x v="1"/>
    <n v="3.4965000000000002"/>
  </r>
  <r>
    <s v="NOP-21394-646"/>
    <x v="170"/>
    <x v="185"/>
    <s v="E-L-0.5"/>
    <n v="6"/>
    <x v="185"/>
    <s v="ncuttler5g@parallels.com"/>
    <x v="0"/>
    <s v="Exc"/>
    <s v="L"/>
    <x v="1"/>
    <n v="8.91"/>
    <n v="53.46"/>
    <x v="1"/>
    <x v="1"/>
    <x v="1"/>
    <n v="5.8805999999999994"/>
  </r>
  <r>
    <s v="NOP-21394-646"/>
    <x v="170"/>
    <x v="185"/>
    <s v="L-D-2.5"/>
    <n v="2"/>
    <x v="185"/>
    <s v="ncuttler5g@parallels.com"/>
    <x v="0"/>
    <s v="Lib"/>
    <s v="D"/>
    <x v="2"/>
    <n v="29.784999999999997"/>
    <n v="59.569999999999993"/>
    <x v="3"/>
    <x v="2"/>
    <x v="1"/>
    <n v="7.7440999999999995"/>
  </r>
  <r>
    <s v="NOP-21394-646"/>
    <x v="170"/>
    <x v="185"/>
    <s v="L-D-2.5"/>
    <n v="3"/>
    <x v="185"/>
    <s v="ncuttler5g@parallels.com"/>
    <x v="0"/>
    <s v="Lib"/>
    <s v="D"/>
    <x v="2"/>
    <n v="29.784999999999997"/>
    <n v="89.35499999999999"/>
    <x v="3"/>
    <x v="2"/>
    <x v="1"/>
    <n v="11.616149999999999"/>
  </r>
  <r>
    <s v="NOP-21394-646"/>
    <x v="170"/>
    <x v="185"/>
    <s v="L-L-0.5"/>
    <n v="4"/>
    <x v="185"/>
    <s v="ncuttler5g@parallels.com"/>
    <x v="0"/>
    <s v="Lib"/>
    <s v="L"/>
    <x v="1"/>
    <n v="9.51"/>
    <n v="38.04"/>
    <x v="3"/>
    <x v="1"/>
    <x v="1"/>
    <n v="4.9451999999999998"/>
  </r>
  <r>
    <s v="NOP-21394-646"/>
    <x v="170"/>
    <x v="185"/>
    <s v="E-M-1"/>
    <n v="3"/>
    <x v="185"/>
    <s v="ncuttler5g@parallels.com"/>
    <x v="0"/>
    <s v="Exc"/>
    <s v="M"/>
    <x v="0"/>
    <n v="13.75"/>
    <n v="41.25"/>
    <x v="1"/>
    <x v="0"/>
    <x v="1"/>
    <n v="4.5374999999999996"/>
  </r>
  <r>
    <s v="FTV-77095-168"/>
    <x v="171"/>
    <x v="186"/>
    <s v="L-L-0.5"/>
    <n v="6"/>
    <x v="186"/>
    <s v=""/>
    <x v="0"/>
    <s v="Lib"/>
    <s v="L"/>
    <x v="1"/>
    <n v="9.51"/>
    <n v="57.06"/>
    <x v="3"/>
    <x v="1"/>
    <x v="1"/>
    <n v="7.4177999999999997"/>
  </r>
  <r>
    <s v="BOR-02906-411"/>
    <x v="172"/>
    <x v="187"/>
    <s v="L-D-2.5"/>
    <n v="6"/>
    <x v="187"/>
    <s v="tfelip5m@typepad.com"/>
    <x v="0"/>
    <s v="Lib"/>
    <s v="D"/>
    <x v="2"/>
    <n v="29.784999999999997"/>
    <n v="178.70999999999998"/>
    <x v="3"/>
    <x v="2"/>
    <x v="0"/>
    <n v="23.232299999999999"/>
  </r>
  <r>
    <s v="WMP-68847-770"/>
    <x v="173"/>
    <x v="188"/>
    <s v="L-L-0.2"/>
    <n v="1"/>
    <x v="188"/>
    <s v="vle5n@disqus.com"/>
    <x v="0"/>
    <s v="Lib"/>
    <s v="L"/>
    <x v="3"/>
    <n v="4.7549999999999999"/>
    <n v="4.7549999999999999"/>
    <x v="3"/>
    <x v="1"/>
    <x v="1"/>
    <n v="0.61814999999999998"/>
  </r>
  <r>
    <s v="TMO-22785-872"/>
    <x v="174"/>
    <x v="189"/>
    <s v="E-M-1"/>
    <n v="6"/>
    <x v="189"/>
    <s v=""/>
    <x v="0"/>
    <s v="Exc"/>
    <s v="M"/>
    <x v="0"/>
    <n v="13.75"/>
    <n v="82.5"/>
    <x v="1"/>
    <x v="0"/>
    <x v="1"/>
    <n v="9.0749999999999993"/>
  </r>
  <r>
    <s v="TJG-73587-353"/>
    <x v="175"/>
    <x v="190"/>
    <s v="R-D-0.2"/>
    <n v="3"/>
    <x v="190"/>
    <s v=""/>
    <x v="0"/>
    <s v="Rob"/>
    <s v="D"/>
    <x v="3"/>
    <n v="2.6849999999999996"/>
    <n v="8.0549999999999997"/>
    <x v="0"/>
    <x v="2"/>
    <x v="0"/>
    <n v="0.4832999999999999"/>
  </r>
  <r>
    <s v="OOU-61343-455"/>
    <x v="176"/>
    <x v="191"/>
    <s v="A-M-1"/>
    <n v="2"/>
    <x v="191"/>
    <s v="npoolman5q@howstuffworks.com"/>
    <x v="0"/>
    <s v="Ara"/>
    <s v="M"/>
    <x v="0"/>
    <n v="11.25"/>
    <n v="22.5"/>
    <x v="2"/>
    <x v="0"/>
    <x v="1"/>
    <n v="2.0249999999999999"/>
  </r>
  <r>
    <s v="RMA-08327-369"/>
    <x v="142"/>
    <x v="192"/>
    <s v="A-M-0.5"/>
    <n v="6"/>
    <x v="192"/>
    <s v="oduny5r@constantcontact.com"/>
    <x v="0"/>
    <s v="Ara"/>
    <s v="M"/>
    <x v="1"/>
    <n v="6.75"/>
    <n v="40.5"/>
    <x v="2"/>
    <x v="0"/>
    <x v="0"/>
    <n v="3.6449999999999996"/>
  </r>
  <r>
    <s v="SFB-97929-779"/>
    <x v="177"/>
    <x v="193"/>
    <s v="E-D-0.5"/>
    <n v="4"/>
    <x v="193"/>
    <s v="chalfhide5s@google.ru"/>
    <x v="1"/>
    <s v="Exc"/>
    <s v="D"/>
    <x v="1"/>
    <n v="7.29"/>
    <n v="29.16"/>
    <x v="1"/>
    <x v="2"/>
    <x v="0"/>
    <n v="3.2076000000000002"/>
  </r>
  <r>
    <s v="AUP-10128-606"/>
    <x v="178"/>
    <x v="194"/>
    <s v="A-M-0.5"/>
    <n v="1"/>
    <x v="194"/>
    <s v="fmalecky5t@list-manage.com"/>
    <x v="2"/>
    <s v="Ara"/>
    <s v="M"/>
    <x v="1"/>
    <n v="6.75"/>
    <n v="6.75"/>
    <x v="2"/>
    <x v="0"/>
    <x v="1"/>
    <n v="0.60749999999999993"/>
  </r>
  <r>
    <s v="YTW-40242-005"/>
    <x v="179"/>
    <x v="195"/>
    <s v="L-D-1"/>
    <n v="4"/>
    <x v="195"/>
    <s v="aattwater5u@wikia.com"/>
    <x v="0"/>
    <s v="Lib"/>
    <s v="D"/>
    <x v="0"/>
    <n v="12.95"/>
    <n v="51.8"/>
    <x v="3"/>
    <x v="2"/>
    <x v="0"/>
    <n v="6.734"/>
  </r>
  <r>
    <s v="PRP-53390-819"/>
    <x v="180"/>
    <x v="196"/>
    <s v="E-L-0.5"/>
    <n v="6"/>
    <x v="196"/>
    <s v="mwhellans5v@mapquest.com"/>
    <x v="0"/>
    <s v="Exc"/>
    <s v="L"/>
    <x v="1"/>
    <n v="8.91"/>
    <n v="53.46"/>
    <x v="1"/>
    <x v="1"/>
    <x v="1"/>
    <n v="5.8805999999999994"/>
  </r>
  <r>
    <s v="GSJ-01065-125"/>
    <x v="181"/>
    <x v="197"/>
    <s v="E-D-0.2"/>
    <n v="4"/>
    <x v="197"/>
    <s v="dcamilletti5w@businesswire.com"/>
    <x v="0"/>
    <s v="Exc"/>
    <s v="D"/>
    <x v="3"/>
    <n v="3.645"/>
    <n v="14.58"/>
    <x v="1"/>
    <x v="2"/>
    <x v="0"/>
    <n v="1.6038000000000001"/>
  </r>
  <r>
    <s v="YQU-65147-580"/>
    <x v="182"/>
    <x v="198"/>
    <s v="R-D-2.5"/>
    <n v="1"/>
    <x v="198"/>
    <s v="egalgey5x@wufoo.com"/>
    <x v="0"/>
    <s v="Rob"/>
    <s v="D"/>
    <x v="2"/>
    <n v="20.584999999999997"/>
    <n v="20.584999999999997"/>
    <x v="0"/>
    <x v="2"/>
    <x v="1"/>
    <n v="1.2350999999999999"/>
  </r>
  <r>
    <s v="QPM-95832-683"/>
    <x v="183"/>
    <x v="199"/>
    <s v="L-L-1"/>
    <n v="2"/>
    <x v="199"/>
    <s v="mhame5y@newsvine.com"/>
    <x v="1"/>
    <s v="Lib"/>
    <s v="L"/>
    <x v="0"/>
    <n v="15.85"/>
    <n v="31.7"/>
    <x v="3"/>
    <x v="1"/>
    <x v="1"/>
    <n v="4.1210000000000004"/>
  </r>
  <r>
    <s v="BNQ-88920-567"/>
    <x v="184"/>
    <x v="200"/>
    <s v="L-D-0.2"/>
    <n v="6"/>
    <x v="200"/>
    <s v="igurnee5z@usnews.com"/>
    <x v="0"/>
    <s v="Lib"/>
    <s v="D"/>
    <x v="3"/>
    <n v="3.8849999999999998"/>
    <n v="23.31"/>
    <x v="3"/>
    <x v="2"/>
    <x v="1"/>
    <n v="3.0303"/>
  </r>
  <r>
    <s v="PUX-47906-110"/>
    <x v="185"/>
    <x v="201"/>
    <s v="L-M-1"/>
    <n v="4"/>
    <x v="201"/>
    <s v="asnowding60@comsenz.com"/>
    <x v="0"/>
    <s v="Lib"/>
    <s v="M"/>
    <x v="0"/>
    <n v="14.55"/>
    <n v="58.2"/>
    <x v="3"/>
    <x v="0"/>
    <x v="0"/>
    <n v="7.5660000000000007"/>
  </r>
  <r>
    <s v="COL-72079-610"/>
    <x v="186"/>
    <x v="202"/>
    <s v="E-L-0.5"/>
    <n v="4"/>
    <x v="202"/>
    <s v="gpoinsett61@berkeley.edu"/>
    <x v="0"/>
    <s v="Exc"/>
    <s v="L"/>
    <x v="1"/>
    <n v="8.91"/>
    <n v="35.64"/>
    <x v="1"/>
    <x v="1"/>
    <x v="1"/>
    <n v="3.9203999999999999"/>
  </r>
  <r>
    <s v="LBC-45686-819"/>
    <x v="187"/>
    <x v="203"/>
    <s v="A-M-1"/>
    <n v="5"/>
    <x v="203"/>
    <s v="rfurman62@t.co"/>
    <x v="1"/>
    <s v="Ara"/>
    <s v="M"/>
    <x v="0"/>
    <n v="11.25"/>
    <n v="56.25"/>
    <x v="2"/>
    <x v="0"/>
    <x v="0"/>
    <n v="5.0625"/>
  </r>
  <r>
    <s v="BLQ-03709-265"/>
    <x v="148"/>
    <x v="204"/>
    <s v="R-L-0.2"/>
    <n v="3"/>
    <x v="204"/>
    <s v="ccrosier63@xrea.com"/>
    <x v="0"/>
    <s v="Rob"/>
    <s v="L"/>
    <x v="3"/>
    <n v="3.5849999999999995"/>
    <n v="10.754999999999999"/>
    <x v="0"/>
    <x v="1"/>
    <x v="1"/>
    <n v="0.64529999999999987"/>
  </r>
  <r>
    <s v="BLQ-03709-265"/>
    <x v="148"/>
    <x v="204"/>
    <s v="R-M-0.2"/>
    <n v="5"/>
    <x v="204"/>
    <s v="ccrosier63@xrea.com"/>
    <x v="0"/>
    <s v="Rob"/>
    <s v="M"/>
    <x v="3"/>
    <n v="2.9849999999999999"/>
    <n v="14.924999999999999"/>
    <x v="0"/>
    <x v="0"/>
    <x v="1"/>
    <n v="0.89549999999999996"/>
  </r>
  <r>
    <s v="VFZ-91673-181"/>
    <x v="188"/>
    <x v="205"/>
    <s v="A-L-1"/>
    <n v="6"/>
    <x v="205"/>
    <s v="lrushmer65@europa.eu"/>
    <x v="0"/>
    <s v="Ara"/>
    <s v="L"/>
    <x v="0"/>
    <n v="12.95"/>
    <n v="77.699999999999989"/>
    <x v="2"/>
    <x v="1"/>
    <x v="0"/>
    <n v="6.9930000000000003"/>
  </r>
  <r>
    <s v="WKD-81956-870"/>
    <x v="189"/>
    <x v="206"/>
    <s v="L-D-0.5"/>
    <n v="3"/>
    <x v="206"/>
    <s v="wedinborough66@github.io"/>
    <x v="0"/>
    <s v="Lib"/>
    <s v="D"/>
    <x v="1"/>
    <n v="7.77"/>
    <n v="23.31"/>
    <x v="3"/>
    <x v="2"/>
    <x v="1"/>
    <n v="3.0303"/>
  </r>
  <r>
    <s v="TNI-91067-006"/>
    <x v="190"/>
    <x v="207"/>
    <s v="E-L-1"/>
    <n v="4"/>
    <x v="207"/>
    <s v=""/>
    <x v="0"/>
    <s v="Exc"/>
    <s v="L"/>
    <x v="0"/>
    <n v="14.85"/>
    <n v="59.4"/>
    <x v="1"/>
    <x v="1"/>
    <x v="0"/>
    <n v="6.5339999999999998"/>
  </r>
  <r>
    <s v="IZA-61469-812"/>
    <x v="191"/>
    <x v="208"/>
    <s v="L-D-2.5"/>
    <n v="4"/>
    <x v="208"/>
    <s v="kbromehead68@un.org"/>
    <x v="0"/>
    <s v="Lib"/>
    <s v="D"/>
    <x v="2"/>
    <n v="29.784999999999997"/>
    <n v="119.13999999999999"/>
    <x v="3"/>
    <x v="2"/>
    <x v="0"/>
    <n v="15.488199999999999"/>
  </r>
  <r>
    <s v="PSS-22466-862"/>
    <x v="192"/>
    <x v="209"/>
    <s v="R-L-0.2"/>
    <n v="4"/>
    <x v="209"/>
    <s v="ewesterman69@si.edu"/>
    <x v="1"/>
    <s v="Rob"/>
    <s v="L"/>
    <x v="3"/>
    <n v="3.5849999999999995"/>
    <n v="14.339999999999998"/>
    <x v="0"/>
    <x v="1"/>
    <x v="1"/>
    <n v="0.86039999999999983"/>
  </r>
  <r>
    <s v="REH-56504-397"/>
    <x v="193"/>
    <x v="210"/>
    <s v="A-M-2.5"/>
    <n v="5"/>
    <x v="210"/>
    <s v="ahutchens6a@amazonaws.com"/>
    <x v="0"/>
    <s v="Ara"/>
    <s v="M"/>
    <x v="2"/>
    <n v="25.874999999999996"/>
    <n v="129.37499999999997"/>
    <x v="2"/>
    <x v="0"/>
    <x v="1"/>
    <n v="11.643749999999997"/>
  </r>
  <r>
    <s v="ALA-62598-016"/>
    <x v="194"/>
    <x v="211"/>
    <s v="R-D-0.2"/>
    <n v="6"/>
    <x v="211"/>
    <s v="nwyvill6b@naver.com"/>
    <x v="2"/>
    <s v="Rob"/>
    <s v="D"/>
    <x v="3"/>
    <n v="2.6849999999999996"/>
    <n v="16.11"/>
    <x v="0"/>
    <x v="2"/>
    <x v="0"/>
    <n v="0.96659999999999979"/>
  </r>
  <r>
    <s v="EYE-70374-835"/>
    <x v="195"/>
    <x v="212"/>
    <s v="R-L-0.2"/>
    <n v="5"/>
    <x v="212"/>
    <s v="bmathon6c@barnesandnoble.com"/>
    <x v="0"/>
    <s v="Rob"/>
    <s v="L"/>
    <x v="3"/>
    <n v="3.5849999999999995"/>
    <n v="17.924999999999997"/>
    <x v="0"/>
    <x v="1"/>
    <x v="1"/>
    <n v="1.0754999999999999"/>
  </r>
  <r>
    <s v="CCZ-19589-212"/>
    <x v="196"/>
    <x v="213"/>
    <s v="L-M-0.2"/>
    <n v="2"/>
    <x v="213"/>
    <s v="kstreight6d@about.com"/>
    <x v="0"/>
    <s v="Lib"/>
    <s v="M"/>
    <x v="3"/>
    <n v="4.3650000000000002"/>
    <n v="8.73"/>
    <x v="3"/>
    <x v="0"/>
    <x v="1"/>
    <n v="1.1349"/>
  </r>
  <r>
    <s v="BPT-83989-157"/>
    <x v="197"/>
    <x v="214"/>
    <s v="A-M-2.5"/>
    <n v="2"/>
    <x v="214"/>
    <s v="pcutchie6e@globo.com"/>
    <x v="0"/>
    <s v="Ara"/>
    <s v="M"/>
    <x v="2"/>
    <n v="25.874999999999996"/>
    <n v="51.749999999999993"/>
    <x v="2"/>
    <x v="0"/>
    <x v="1"/>
    <n v="4.6574999999999989"/>
  </r>
  <r>
    <s v="YFH-87456-208"/>
    <x v="198"/>
    <x v="215"/>
    <s v="L-M-0.2"/>
    <n v="2"/>
    <x v="215"/>
    <s v=""/>
    <x v="0"/>
    <s v="Lib"/>
    <s v="M"/>
    <x v="3"/>
    <n v="4.3650000000000002"/>
    <n v="8.73"/>
    <x v="3"/>
    <x v="0"/>
    <x v="0"/>
    <n v="1.1349"/>
  </r>
  <r>
    <s v="JLN-14700-924"/>
    <x v="199"/>
    <x v="216"/>
    <s v="L-L-0.2"/>
    <n v="5"/>
    <x v="216"/>
    <s v="cgheraldi6g@opera.com"/>
    <x v="2"/>
    <s v="Lib"/>
    <s v="L"/>
    <x v="3"/>
    <n v="4.7549999999999999"/>
    <n v="23.774999999999999"/>
    <x v="3"/>
    <x v="1"/>
    <x v="1"/>
    <n v="3.0907499999999999"/>
  </r>
  <r>
    <s v="JVW-22582-137"/>
    <x v="200"/>
    <x v="217"/>
    <s v="E-M-0.2"/>
    <n v="5"/>
    <x v="217"/>
    <s v="bkenwell6h@over-blog.com"/>
    <x v="0"/>
    <s v="Exc"/>
    <s v="M"/>
    <x v="3"/>
    <n v="4.125"/>
    <n v="20.625"/>
    <x v="1"/>
    <x v="0"/>
    <x v="1"/>
    <n v="2.2687499999999998"/>
  </r>
  <r>
    <s v="LAA-41879-001"/>
    <x v="201"/>
    <x v="218"/>
    <s v="L-L-2.5"/>
    <n v="1"/>
    <x v="218"/>
    <s v="tsutty6i@google.es"/>
    <x v="0"/>
    <s v="Lib"/>
    <s v="L"/>
    <x v="2"/>
    <n v="36.454999999999998"/>
    <n v="36.454999999999998"/>
    <x v="3"/>
    <x v="1"/>
    <x v="1"/>
    <n v="4.7391499999999995"/>
  </r>
  <r>
    <s v="BRV-64870-915"/>
    <x v="202"/>
    <x v="219"/>
    <s v="L-L-2.5"/>
    <n v="5"/>
    <x v="219"/>
    <s v=""/>
    <x v="1"/>
    <s v="Lib"/>
    <s v="L"/>
    <x v="2"/>
    <n v="36.454999999999998"/>
    <n v="182.27499999999998"/>
    <x v="3"/>
    <x v="1"/>
    <x v="1"/>
    <n v="23.695749999999997"/>
  </r>
  <r>
    <s v="RGJ-12544-083"/>
    <x v="203"/>
    <x v="220"/>
    <s v="L-D-2.5"/>
    <n v="3"/>
    <x v="220"/>
    <s v="charce6k@cafepress.com"/>
    <x v="1"/>
    <s v="Lib"/>
    <s v="D"/>
    <x v="2"/>
    <n v="29.784999999999997"/>
    <n v="89.35499999999999"/>
    <x v="3"/>
    <x v="2"/>
    <x v="1"/>
    <n v="11.616149999999999"/>
  </r>
  <r>
    <s v="JJX-83339-346"/>
    <x v="204"/>
    <x v="221"/>
    <s v="R-L-0.2"/>
    <n v="1"/>
    <x v="221"/>
    <s v=""/>
    <x v="0"/>
    <s v="Rob"/>
    <s v="L"/>
    <x v="3"/>
    <n v="3.5849999999999995"/>
    <n v="3.5849999999999995"/>
    <x v="0"/>
    <x v="1"/>
    <x v="0"/>
    <n v="0.21509999999999996"/>
  </r>
  <r>
    <s v="BIU-21970-705"/>
    <x v="205"/>
    <x v="222"/>
    <s v="R-M-2.5"/>
    <n v="2"/>
    <x v="222"/>
    <s v="fdrysdale6m@symantec.com"/>
    <x v="0"/>
    <s v="Rob"/>
    <s v="M"/>
    <x v="2"/>
    <n v="22.884999999999998"/>
    <n v="45.769999999999996"/>
    <x v="0"/>
    <x v="0"/>
    <x v="0"/>
    <n v="2.7461999999999995"/>
  </r>
  <r>
    <s v="ELJ-87741-745"/>
    <x v="206"/>
    <x v="223"/>
    <s v="E-L-1"/>
    <n v="4"/>
    <x v="223"/>
    <s v="dmagowan6n@fc2.com"/>
    <x v="0"/>
    <s v="Exc"/>
    <s v="L"/>
    <x v="0"/>
    <n v="14.85"/>
    <n v="59.4"/>
    <x v="1"/>
    <x v="1"/>
    <x v="1"/>
    <n v="6.5339999999999998"/>
  </r>
  <r>
    <s v="SGI-48226-857"/>
    <x v="207"/>
    <x v="224"/>
    <s v="A-M-2.5"/>
    <n v="6"/>
    <x v="224"/>
    <s v=""/>
    <x v="0"/>
    <s v="Ara"/>
    <s v="M"/>
    <x v="2"/>
    <n v="25.874999999999996"/>
    <n v="155.24999999999997"/>
    <x v="2"/>
    <x v="0"/>
    <x v="0"/>
    <n v="13.972499999999997"/>
  </r>
  <r>
    <s v="AHV-66988-037"/>
    <x v="208"/>
    <x v="225"/>
    <s v="R-M-2.5"/>
    <n v="2"/>
    <x v="225"/>
    <s v=""/>
    <x v="0"/>
    <s v="Rob"/>
    <s v="M"/>
    <x v="2"/>
    <n v="22.884999999999998"/>
    <n v="45.769999999999996"/>
    <x v="0"/>
    <x v="0"/>
    <x v="1"/>
    <n v="2.7461999999999995"/>
  </r>
  <r>
    <s v="ISK-42066-094"/>
    <x v="209"/>
    <x v="226"/>
    <s v="E-D-1"/>
    <n v="3"/>
    <x v="226"/>
    <s v="srushbrooke6q@youku.com"/>
    <x v="0"/>
    <s v="Exc"/>
    <s v="D"/>
    <x v="0"/>
    <n v="12.15"/>
    <n v="36.450000000000003"/>
    <x v="1"/>
    <x v="2"/>
    <x v="0"/>
    <n v="4.0095000000000001"/>
  </r>
  <r>
    <s v="FTC-35822-530"/>
    <x v="210"/>
    <x v="227"/>
    <s v="E-D-0.5"/>
    <n v="4"/>
    <x v="227"/>
    <s v="tdrynan6r@deviantart.com"/>
    <x v="0"/>
    <s v="Exc"/>
    <s v="D"/>
    <x v="1"/>
    <n v="7.29"/>
    <n v="29.16"/>
    <x v="1"/>
    <x v="2"/>
    <x v="0"/>
    <n v="3.2076000000000002"/>
  </r>
  <r>
    <s v="VSS-56247-688"/>
    <x v="211"/>
    <x v="228"/>
    <s v="L-M-2.5"/>
    <n v="4"/>
    <x v="228"/>
    <s v="eyurkov6s@hud.gov"/>
    <x v="0"/>
    <s v="Lib"/>
    <s v="M"/>
    <x v="2"/>
    <n v="33.464999999999996"/>
    <n v="133.85999999999999"/>
    <x v="3"/>
    <x v="0"/>
    <x v="1"/>
    <n v="17.401799999999998"/>
  </r>
  <r>
    <s v="HVW-25584-144"/>
    <x v="212"/>
    <x v="229"/>
    <s v="L-L-0.2"/>
    <n v="5"/>
    <x v="229"/>
    <s v="lmallan6t@state.gov"/>
    <x v="0"/>
    <s v="Lib"/>
    <s v="L"/>
    <x v="3"/>
    <n v="4.7549999999999999"/>
    <n v="23.774999999999999"/>
    <x v="3"/>
    <x v="1"/>
    <x v="0"/>
    <n v="3.0907499999999999"/>
  </r>
  <r>
    <s v="MUY-15309-209"/>
    <x v="213"/>
    <x v="230"/>
    <s v="L-D-1"/>
    <n v="3"/>
    <x v="230"/>
    <s v="gbentjens6u@netlog.com"/>
    <x v="2"/>
    <s v="Lib"/>
    <s v="D"/>
    <x v="0"/>
    <n v="12.95"/>
    <n v="38.849999999999994"/>
    <x v="3"/>
    <x v="2"/>
    <x v="1"/>
    <n v="5.0504999999999995"/>
  </r>
  <r>
    <s v="VAJ-44572-469"/>
    <x v="63"/>
    <x v="231"/>
    <s v="R-L-0.2"/>
    <n v="6"/>
    <x v="231"/>
    <s v=""/>
    <x v="1"/>
    <s v="Rob"/>
    <s v="L"/>
    <x v="3"/>
    <n v="3.5849999999999995"/>
    <n v="21.509999999999998"/>
    <x v="0"/>
    <x v="1"/>
    <x v="0"/>
    <n v="1.2905999999999997"/>
  </r>
  <r>
    <s v="YJU-84377-606"/>
    <x v="214"/>
    <x v="232"/>
    <s v="A-D-1"/>
    <n v="1"/>
    <x v="232"/>
    <s v="lentwistle6w@omniture.com"/>
    <x v="0"/>
    <s v="Ara"/>
    <s v="D"/>
    <x v="0"/>
    <n v="9.9499999999999993"/>
    <n v="9.9499999999999993"/>
    <x v="2"/>
    <x v="2"/>
    <x v="0"/>
    <n v="0.89549999999999985"/>
  </r>
  <r>
    <s v="VNC-93921-469"/>
    <x v="215"/>
    <x v="233"/>
    <s v="L-L-1"/>
    <n v="1"/>
    <x v="233"/>
    <s v="zkiffe74@cyberchimps.com"/>
    <x v="0"/>
    <s v="Lib"/>
    <s v="L"/>
    <x v="0"/>
    <n v="15.85"/>
    <n v="15.85"/>
    <x v="3"/>
    <x v="1"/>
    <x v="0"/>
    <n v="2.0605000000000002"/>
  </r>
  <r>
    <s v="OGB-91614-810"/>
    <x v="216"/>
    <x v="234"/>
    <s v="R-M-0.2"/>
    <n v="1"/>
    <x v="234"/>
    <s v="macott6y@pagesperso-orange.fr"/>
    <x v="0"/>
    <s v="Rob"/>
    <s v="M"/>
    <x v="3"/>
    <n v="2.9849999999999999"/>
    <n v="2.9849999999999999"/>
    <x v="0"/>
    <x v="0"/>
    <x v="0"/>
    <n v="0.17909999999999998"/>
  </r>
  <r>
    <s v="BQI-61647-496"/>
    <x v="217"/>
    <x v="235"/>
    <s v="E-M-1"/>
    <n v="5"/>
    <x v="235"/>
    <s v="cheaviside6z@rediff.com"/>
    <x v="0"/>
    <s v="Exc"/>
    <s v="M"/>
    <x v="0"/>
    <n v="13.75"/>
    <n v="68.75"/>
    <x v="1"/>
    <x v="0"/>
    <x v="0"/>
    <n v="7.5625"/>
  </r>
  <r>
    <s v="IOM-51636-823"/>
    <x v="218"/>
    <x v="236"/>
    <s v="A-D-1"/>
    <n v="3"/>
    <x v="236"/>
    <s v=""/>
    <x v="0"/>
    <s v="Ara"/>
    <s v="D"/>
    <x v="0"/>
    <n v="9.9499999999999993"/>
    <n v="29.849999999999998"/>
    <x v="2"/>
    <x v="2"/>
    <x v="1"/>
    <n v="2.6864999999999997"/>
  </r>
  <r>
    <s v="GGD-38107-641"/>
    <x v="219"/>
    <x v="237"/>
    <s v="L-M-1"/>
    <n v="4"/>
    <x v="237"/>
    <s v="lkernan71@wsj.com"/>
    <x v="0"/>
    <s v="Lib"/>
    <s v="M"/>
    <x v="0"/>
    <n v="14.55"/>
    <n v="58.2"/>
    <x v="3"/>
    <x v="0"/>
    <x v="1"/>
    <n v="7.5660000000000007"/>
  </r>
  <r>
    <s v="LTO-95975-728"/>
    <x v="220"/>
    <x v="238"/>
    <s v="R-L-0.5"/>
    <n v="4"/>
    <x v="238"/>
    <s v="rmclae72@dailymotion.com"/>
    <x v="2"/>
    <s v="Rob"/>
    <s v="L"/>
    <x v="1"/>
    <n v="7.169999999999999"/>
    <n v="28.679999999999996"/>
    <x v="0"/>
    <x v="1"/>
    <x v="1"/>
    <n v="1.7207999999999997"/>
  </r>
  <r>
    <s v="IGM-84664-265"/>
    <x v="114"/>
    <x v="239"/>
    <s v="R-L-0.5"/>
    <n v="3"/>
    <x v="239"/>
    <s v="cblowfelde73@ustream.tv"/>
    <x v="0"/>
    <s v="Rob"/>
    <s v="L"/>
    <x v="1"/>
    <n v="7.169999999999999"/>
    <n v="21.509999999999998"/>
    <x v="0"/>
    <x v="1"/>
    <x v="1"/>
    <n v="1.2905999999999997"/>
  </r>
  <r>
    <s v="SKO-45740-621"/>
    <x v="221"/>
    <x v="233"/>
    <s v="L-M-0.5"/>
    <n v="2"/>
    <x v="233"/>
    <s v="zkiffe74@cyberchimps.com"/>
    <x v="0"/>
    <s v="Lib"/>
    <s v="M"/>
    <x v="1"/>
    <n v="8.73"/>
    <n v="17.46"/>
    <x v="3"/>
    <x v="0"/>
    <x v="0"/>
    <n v="2.2698"/>
  </r>
  <r>
    <s v="FOJ-02234-063"/>
    <x v="222"/>
    <x v="240"/>
    <s v="E-D-2.5"/>
    <n v="1"/>
    <x v="240"/>
    <s v="docalleran75@ucla.edu"/>
    <x v="0"/>
    <s v="Exc"/>
    <s v="D"/>
    <x v="2"/>
    <n v="27.945"/>
    <n v="27.945"/>
    <x v="1"/>
    <x v="2"/>
    <x v="0"/>
    <n v="3.07395"/>
  </r>
  <r>
    <s v="MSJ-11909-468"/>
    <x v="188"/>
    <x v="241"/>
    <s v="E-D-2.5"/>
    <n v="5"/>
    <x v="241"/>
    <s v="ccromwell76@desdev.cn"/>
    <x v="0"/>
    <s v="Exc"/>
    <s v="D"/>
    <x v="2"/>
    <n v="27.945"/>
    <n v="139.72499999999999"/>
    <x v="1"/>
    <x v="2"/>
    <x v="1"/>
    <n v="15.36975"/>
  </r>
  <r>
    <s v="DKB-78053-329"/>
    <x v="223"/>
    <x v="242"/>
    <s v="R-M-0.2"/>
    <n v="2"/>
    <x v="242"/>
    <s v="ihay77@lulu.com"/>
    <x v="2"/>
    <s v="Rob"/>
    <s v="M"/>
    <x v="3"/>
    <n v="2.9849999999999999"/>
    <n v="5.97"/>
    <x v="0"/>
    <x v="0"/>
    <x v="1"/>
    <n v="0.35819999999999996"/>
  </r>
  <r>
    <s v="DFZ-45083-941"/>
    <x v="224"/>
    <x v="243"/>
    <s v="R-L-2.5"/>
    <n v="1"/>
    <x v="243"/>
    <s v="ttaffarello78@sciencedaily.com"/>
    <x v="0"/>
    <s v="Rob"/>
    <s v="L"/>
    <x v="2"/>
    <n v="27.484999999999996"/>
    <n v="27.484999999999996"/>
    <x v="0"/>
    <x v="1"/>
    <x v="0"/>
    <n v="1.6490999999999998"/>
  </r>
  <r>
    <s v="OTA-40969-710"/>
    <x v="83"/>
    <x v="244"/>
    <s v="R-L-1"/>
    <n v="5"/>
    <x v="244"/>
    <s v="mcanty79@jigsy.com"/>
    <x v="0"/>
    <s v="Rob"/>
    <s v="L"/>
    <x v="0"/>
    <n v="11.95"/>
    <n v="59.75"/>
    <x v="0"/>
    <x v="1"/>
    <x v="0"/>
    <n v="3.585"/>
  </r>
  <r>
    <s v="GRH-45571-667"/>
    <x v="104"/>
    <x v="245"/>
    <s v="E-M-1"/>
    <n v="3"/>
    <x v="245"/>
    <s v="jkopke7a@auda.org.au"/>
    <x v="0"/>
    <s v="Exc"/>
    <s v="M"/>
    <x v="0"/>
    <n v="13.75"/>
    <n v="41.25"/>
    <x v="1"/>
    <x v="0"/>
    <x v="1"/>
    <n v="4.5374999999999996"/>
  </r>
  <r>
    <s v="NXV-05302-067"/>
    <x v="225"/>
    <x v="246"/>
    <s v="L-M-2.5"/>
    <n v="4"/>
    <x v="246"/>
    <s v=""/>
    <x v="0"/>
    <s v="Lib"/>
    <s v="M"/>
    <x v="2"/>
    <n v="33.464999999999996"/>
    <n v="133.85999999999999"/>
    <x v="3"/>
    <x v="0"/>
    <x v="1"/>
    <n v="17.401799999999998"/>
  </r>
  <r>
    <s v="VZH-86274-142"/>
    <x v="226"/>
    <x v="247"/>
    <s v="R-L-1"/>
    <n v="5"/>
    <x v="247"/>
    <s v=""/>
    <x v="1"/>
    <s v="Rob"/>
    <s v="L"/>
    <x v="0"/>
    <n v="11.95"/>
    <n v="59.75"/>
    <x v="0"/>
    <x v="1"/>
    <x v="0"/>
    <n v="3.585"/>
  </r>
  <r>
    <s v="KIX-93248-135"/>
    <x v="227"/>
    <x v="248"/>
    <s v="A-D-0.5"/>
    <n v="1"/>
    <x v="248"/>
    <s v="vhellmore7d@bbc.co.uk"/>
    <x v="0"/>
    <s v="Ara"/>
    <s v="D"/>
    <x v="1"/>
    <n v="5.97"/>
    <n v="5.97"/>
    <x v="2"/>
    <x v="2"/>
    <x v="0"/>
    <n v="0.5373"/>
  </r>
  <r>
    <s v="AXR-10962-010"/>
    <x v="180"/>
    <x v="249"/>
    <s v="E-D-1"/>
    <n v="2"/>
    <x v="249"/>
    <s v="mseawright7e@nbcnews.com"/>
    <x v="2"/>
    <s v="Exc"/>
    <s v="D"/>
    <x v="0"/>
    <n v="12.15"/>
    <n v="24.3"/>
    <x v="1"/>
    <x v="2"/>
    <x v="1"/>
    <n v="2.673"/>
  </r>
  <r>
    <s v="IHS-71573-008"/>
    <x v="228"/>
    <x v="250"/>
    <s v="E-D-0.2"/>
    <n v="6"/>
    <x v="250"/>
    <s v="snortheast7f@mashable.com"/>
    <x v="0"/>
    <s v="Exc"/>
    <s v="D"/>
    <x v="3"/>
    <n v="3.645"/>
    <n v="21.87"/>
    <x v="1"/>
    <x v="2"/>
    <x v="0"/>
    <n v="2.4057000000000004"/>
  </r>
  <r>
    <s v="QTR-19001-114"/>
    <x v="229"/>
    <x v="195"/>
    <s v="A-D-1"/>
    <n v="2"/>
    <x v="195"/>
    <s v="aattwater5u@wikia.com"/>
    <x v="0"/>
    <s v="Ara"/>
    <s v="D"/>
    <x v="0"/>
    <n v="9.9499999999999993"/>
    <n v="19.899999999999999"/>
    <x v="2"/>
    <x v="2"/>
    <x v="0"/>
    <n v="1.7909999999999997"/>
  </r>
  <r>
    <s v="WBK-62297-910"/>
    <x v="230"/>
    <x v="251"/>
    <s v="A-D-0.2"/>
    <n v="2"/>
    <x v="251"/>
    <s v="mfearon7h@reverbnation.com"/>
    <x v="0"/>
    <s v="Ara"/>
    <s v="D"/>
    <x v="3"/>
    <n v="2.9849999999999999"/>
    <n v="5.97"/>
    <x v="2"/>
    <x v="2"/>
    <x v="1"/>
    <n v="0.5373"/>
  </r>
  <r>
    <s v="OGY-19377-175"/>
    <x v="231"/>
    <x v="252"/>
    <s v="E-D-0.5"/>
    <n v="1"/>
    <x v="252"/>
    <s v=""/>
    <x v="1"/>
    <s v="Exc"/>
    <s v="D"/>
    <x v="1"/>
    <n v="7.29"/>
    <n v="7.29"/>
    <x v="1"/>
    <x v="2"/>
    <x v="0"/>
    <n v="0.80190000000000006"/>
  </r>
  <r>
    <s v="ESR-66651-814"/>
    <x v="80"/>
    <x v="253"/>
    <s v="A-D-0.2"/>
    <n v="4"/>
    <x v="253"/>
    <s v="jsisneros7j@a8.net"/>
    <x v="0"/>
    <s v="Ara"/>
    <s v="D"/>
    <x v="3"/>
    <n v="2.9849999999999999"/>
    <n v="11.94"/>
    <x v="2"/>
    <x v="2"/>
    <x v="0"/>
    <n v="1.0746"/>
  </r>
  <r>
    <s v="CPX-46916-770"/>
    <x v="232"/>
    <x v="254"/>
    <s v="R-L-1"/>
    <n v="6"/>
    <x v="254"/>
    <s v="zcarlson7k@bigcartel.com"/>
    <x v="1"/>
    <s v="Rob"/>
    <s v="L"/>
    <x v="0"/>
    <n v="11.95"/>
    <n v="71.699999999999989"/>
    <x v="0"/>
    <x v="1"/>
    <x v="0"/>
    <n v="4.3019999999999996"/>
  </r>
  <r>
    <s v="MDC-03318-645"/>
    <x v="233"/>
    <x v="255"/>
    <s v="A-L-0.2"/>
    <n v="2"/>
    <x v="255"/>
    <s v="wmaddox7l@timesonline.co.uk"/>
    <x v="0"/>
    <s v="Ara"/>
    <s v="L"/>
    <x v="3"/>
    <n v="3.8849999999999998"/>
    <n v="7.77"/>
    <x v="2"/>
    <x v="1"/>
    <x v="1"/>
    <n v="0.69929999999999992"/>
  </r>
  <r>
    <s v="SFF-86059-407"/>
    <x v="234"/>
    <x v="256"/>
    <s v="A-M-2.5"/>
    <n v="1"/>
    <x v="256"/>
    <s v="dhedlestone7m@craigslist.org"/>
    <x v="0"/>
    <s v="Ara"/>
    <s v="M"/>
    <x v="2"/>
    <n v="25.874999999999996"/>
    <n v="25.874999999999996"/>
    <x v="2"/>
    <x v="0"/>
    <x v="1"/>
    <n v="2.3287499999999994"/>
  </r>
  <r>
    <s v="SCL-94540-788"/>
    <x v="235"/>
    <x v="257"/>
    <s v="E-L-2.5"/>
    <n v="6"/>
    <x v="257"/>
    <s v="tcrowthe7n@europa.eu"/>
    <x v="0"/>
    <s v="Exc"/>
    <s v="L"/>
    <x v="2"/>
    <n v="34.154999999999994"/>
    <n v="204.92999999999995"/>
    <x v="1"/>
    <x v="1"/>
    <x v="1"/>
    <n v="22.542299999999997"/>
  </r>
  <r>
    <s v="HVU-21634-076"/>
    <x v="236"/>
    <x v="258"/>
    <s v="R-L-2.5"/>
    <n v="4"/>
    <x v="258"/>
    <s v="dbury7o@tinyurl.com"/>
    <x v="1"/>
    <s v="Rob"/>
    <s v="L"/>
    <x v="2"/>
    <n v="27.484999999999996"/>
    <n v="109.93999999999998"/>
    <x v="0"/>
    <x v="1"/>
    <x v="0"/>
    <n v="6.5963999999999992"/>
  </r>
  <r>
    <s v="XUS-73326-418"/>
    <x v="237"/>
    <x v="259"/>
    <s v="E-L-1"/>
    <n v="6"/>
    <x v="259"/>
    <s v="gbroadbear7p@omniture.com"/>
    <x v="0"/>
    <s v="Exc"/>
    <s v="L"/>
    <x v="0"/>
    <n v="14.85"/>
    <n v="89.1"/>
    <x v="1"/>
    <x v="1"/>
    <x v="1"/>
    <n v="9.8010000000000002"/>
  </r>
  <r>
    <s v="XWD-18933-006"/>
    <x v="238"/>
    <x v="260"/>
    <s v="A-L-0.2"/>
    <n v="2"/>
    <x v="260"/>
    <s v="epalfrey7q@devhub.com"/>
    <x v="0"/>
    <s v="Ara"/>
    <s v="L"/>
    <x v="3"/>
    <n v="3.8849999999999998"/>
    <n v="7.77"/>
    <x v="2"/>
    <x v="1"/>
    <x v="0"/>
    <n v="0.69929999999999992"/>
  </r>
  <r>
    <s v="HPD-65272-772"/>
    <x v="52"/>
    <x v="261"/>
    <s v="L-M-2.5"/>
    <n v="1"/>
    <x v="261"/>
    <s v="pmetrick7r@rakuten.co.jp"/>
    <x v="0"/>
    <s v="Lib"/>
    <s v="M"/>
    <x v="2"/>
    <n v="33.464999999999996"/>
    <n v="33.464999999999996"/>
    <x v="3"/>
    <x v="0"/>
    <x v="0"/>
    <n v="4.3504499999999995"/>
  </r>
  <r>
    <s v="JEG-93140-224"/>
    <x v="146"/>
    <x v="262"/>
    <s v="E-M-0.5"/>
    <n v="5"/>
    <x v="262"/>
    <s v=""/>
    <x v="0"/>
    <s v="Exc"/>
    <s v="M"/>
    <x v="1"/>
    <n v="8.25"/>
    <n v="41.25"/>
    <x v="1"/>
    <x v="0"/>
    <x v="0"/>
    <n v="4.5374999999999996"/>
  </r>
  <r>
    <s v="NNH-62058-950"/>
    <x v="239"/>
    <x v="263"/>
    <s v="E-L-1"/>
    <n v="4"/>
    <x v="263"/>
    <s v="kkarby7t@sbwire.com"/>
    <x v="0"/>
    <s v="Exc"/>
    <s v="L"/>
    <x v="0"/>
    <n v="14.85"/>
    <n v="59.4"/>
    <x v="1"/>
    <x v="1"/>
    <x v="0"/>
    <n v="6.5339999999999998"/>
  </r>
  <r>
    <s v="LTD-71429-845"/>
    <x v="240"/>
    <x v="264"/>
    <s v="A-L-0.5"/>
    <n v="1"/>
    <x v="264"/>
    <s v="fcrumpe7u@ftc.gov"/>
    <x v="2"/>
    <s v="Ara"/>
    <s v="L"/>
    <x v="1"/>
    <n v="7.77"/>
    <n v="7.77"/>
    <x v="2"/>
    <x v="1"/>
    <x v="1"/>
    <n v="0.69929999999999992"/>
  </r>
  <r>
    <s v="MPV-26985-215"/>
    <x v="241"/>
    <x v="265"/>
    <s v="R-D-0.5"/>
    <n v="1"/>
    <x v="265"/>
    <s v="achatto7v@sakura.ne.jp"/>
    <x v="2"/>
    <s v="Rob"/>
    <s v="D"/>
    <x v="1"/>
    <n v="5.3699999999999992"/>
    <n v="5.3699999999999992"/>
    <x v="0"/>
    <x v="2"/>
    <x v="0"/>
    <n v="0.32219999999999993"/>
  </r>
  <r>
    <s v="IYO-10245-081"/>
    <x v="242"/>
    <x v="266"/>
    <s v="E-M-2.5"/>
    <n v="3"/>
    <x v="266"/>
    <s v=""/>
    <x v="0"/>
    <s v="Exc"/>
    <s v="M"/>
    <x v="2"/>
    <n v="31.624999999999996"/>
    <n v="94.874999999999986"/>
    <x v="1"/>
    <x v="0"/>
    <x v="1"/>
    <n v="10.436249999999999"/>
  </r>
  <r>
    <s v="BYZ-39669-954"/>
    <x v="243"/>
    <x v="267"/>
    <s v="L-L-2.5"/>
    <n v="1"/>
    <x v="267"/>
    <s v=""/>
    <x v="0"/>
    <s v="Lib"/>
    <s v="L"/>
    <x v="2"/>
    <n v="36.454999999999998"/>
    <n v="36.454999999999998"/>
    <x v="3"/>
    <x v="1"/>
    <x v="1"/>
    <n v="4.7391499999999995"/>
  </r>
  <r>
    <s v="EFB-72860-209"/>
    <x v="244"/>
    <x v="268"/>
    <s v="A-M-0.2"/>
    <n v="4"/>
    <x v="268"/>
    <s v="bmergue7y@umn.edu"/>
    <x v="0"/>
    <s v="Ara"/>
    <s v="M"/>
    <x v="3"/>
    <n v="3.375"/>
    <n v="13.5"/>
    <x v="2"/>
    <x v="0"/>
    <x v="0"/>
    <n v="1.2149999999999999"/>
  </r>
  <r>
    <s v="GMM-72397-378"/>
    <x v="245"/>
    <x v="269"/>
    <s v="R-L-0.2"/>
    <n v="4"/>
    <x v="269"/>
    <s v="kpatise7z@jigsy.com"/>
    <x v="0"/>
    <s v="Rob"/>
    <s v="L"/>
    <x v="3"/>
    <n v="3.5849999999999995"/>
    <n v="14.339999999999998"/>
    <x v="0"/>
    <x v="1"/>
    <x v="1"/>
    <n v="0.86039999999999983"/>
  </r>
  <r>
    <s v="LYP-52345-883"/>
    <x v="246"/>
    <x v="270"/>
    <s v="E-M-0.5"/>
    <n v="1"/>
    <x v="270"/>
    <s v=""/>
    <x v="1"/>
    <s v="Exc"/>
    <s v="M"/>
    <x v="1"/>
    <n v="8.25"/>
    <n v="8.25"/>
    <x v="1"/>
    <x v="0"/>
    <x v="0"/>
    <n v="0.90749999999999997"/>
  </r>
  <r>
    <s v="DFK-35846-692"/>
    <x v="247"/>
    <x v="271"/>
    <s v="R-D-0.2"/>
    <n v="5"/>
    <x v="271"/>
    <s v=""/>
    <x v="0"/>
    <s v="Rob"/>
    <s v="D"/>
    <x v="3"/>
    <n v="2.6849999999999996"/>
    <n v="13.424999999999997"/>
    <x v="0"/>
    <x v="2"/>
    <x v="0"/>
    <n v="0.80549999999999988"/>
  </r>
  <r>
    <s v="XAH-93337-609"/>
    <x v="248"/>
    <x v="272"/>
    <s v="A-D-1"/>
    <n v="5"/>
    <x v="272"/>
    <s v="dduke82@vkontakte.ru"/>
    <x v="0"/>
    <s v="Ara"/>
    <s v="D"/>
    <x v="0"/>
    <n v="9.9499999999999993"/>
    <n v="49.75"/>
    <x v="2"/>
    <x v="2"/>
    <x v="1"/>
    <n v="4.4774999999999991"/>
  </r>
  <r>
    <s v="QKA-72582-644"/>
    <x v="249"/>
    <x v="273"/>
    <s v="E-M-0.5"/>
    <n v="2"/>
    <x v="273"/>
    <s v=""/>
    <x v="1"/>
    <s v="Exc"/>
    <s v="M"/>
    <x v="1"/>
    <n v="8.25"/>
    <n v="16.5"/>
    <x v="1"/>
    <x v="0"/>
    <x v="1"/>
    <n v="1.8149999999999999"/>
  </r>
  <r>
    <s v="ZDK-84567-102"/>
    <x v="250"/>
    <x v="274"/>
    <s v="A-D-0.5"/>
    <n v="3"/>
    <x v="274"/>
    <s v="ihussey84@mapy.cz"/>
    <x v="0"/>
    <s v="Ara"/>
    <s v="D"/>
    <x v="1"/>
    <n v="5.97"/>
    <n v="17.91"/>
    <x v="2"/>
    <x v="2"/>
    <x v="1"/>
    <n v="1.6118999999999999"/>
  </r>
  <r>
    <s v="WAV-38301-984"/>
    <x v="251"/>
    <x v="275"/>
    <s v="A-D-0.5"/>
    <n v="5"/>
    <x v="275"/>
    <s v="cpinkerton85@upenn.edu"/>
    <x v="0"/>
    <s v="Ara"/>
    <s v="D"/>
    <x v="1"/>
    <n v="5.97"/>
    <n v="29.849999999999998"/>
    <x v="2"/>
    <x v="2"/>
    <x v="1"/>
    <n v="2.6865000000000001"/>
  </r>
  <r>
    <s v="KZR-33023-209"/>
    <x v="177"/>
    <x v="276"/>
    <s v="E-L-1"/>
    <n v="3"/>
    <x v="276"/>
    <s v=""/>
    <x v="0"/>
    <s v="Exc"/>
    <s v="L"/>
    <x v="0"/>
    <n v="14.85"/>
    <n v="44.55"/>
    <x v="1"/>
    <x v="1"/>
    <x v="1"/>
    <n v="4.9005000000000001"/>
  </r>
  <r>
    <s v="ULM-49433-003"/>
    <x v="252"/>
    <x v="277"/>
    <s v="E-M-1"/>
    <n v="2"/>
    <x v="277"/>
    <s v=""/>
    <x v="0"/>
    <s v="Exc"/>
    <s v="M"/>
    <x v="0"/>
    <n v="13.75"/>
    <n v="27.5"/>
    <x v="1"/>
    <x v="0"/>
    <x v="1"/>
    <n v="3.0249999999999999"/>
  </r>
  <r>
    <s v="SIB-83254-136"/>
    <x v="253"/>
    <x v="278"/>
    <s v="R-M-0.5"/>
    <n v="6"/>
    <x v="278"/>
    <s v="dvizor88@furl.net"/>
    <x v="0"/>
    <s v="Rob"/>
    <s v="M"/>
    <x v="1"/>
    <n v="5.97"/>
    <n v="35.82"/>
    <x v="0"/>
    <x v="0"/>
    <x v="0"/>
    <n v="2.1491999999999996"/>
  </r>
  <r>
    <s v="NOK-50349-551"/>
    <x v="254"/>
    <x v="279"/>
    <s v="R-D-0.5"/>
    <n v="3"/>
    <x v="279"/>
    <s v="esedgebeer89@oaic.gov.au"/>
    <x v="0"/>
    <s v="Rob"/>
    <s v="D"/>
    <x v="1"/>
    <n v="5.3699999999999992"/>
    <n v="16.11"/>
    <x v="0"/>
    <x v="2"/>
    <x v="0"/>
    <n v="0.96659999999999979"/>
  </r>
  <r>
    <s v="YIS-96268-844"/>
    <x v="227"/>
    <x v="280"/>
    <s v="E-L-0.2"/>
    <n v="6"/>
    <x v="280"/>
    <s v="klestrange8a@lulu.com"/>
    <x v="0"/>
    <s v="Exc"/>
    <s v="L"/>
    <x v="3"/>
    <n v="4.4550000000000001"/>
    <n v="26.73"/>
    <x v="1"/>
    <x v="1"/>
    <x v="0"/>
    <n v="2.9402999999999997"/>
  </r>
  <r>
    <s v="CXI-04933-855"/>
    <x v="110"/>
    <x v="281"/>
    <s v="E-L-2.5"/>
    <n v="6"/>
    <x v="281"/>
    <s v="ltanti8b@techcrunch.com"/>
    <x v="0"/>
    <s v="Exc"/>
    <s v="L"/>
    <x v="2"/>
    <n v="34.154999999999994"/>
    <n v="204.92999999999995"/>
    <x v="1"/>
    <x v="1"/>
    <x v="0"/>
    <n v="22.542299999999997"/>
  </r>
  <r>
    <s v="IZU-90429-382"/>
    <x v="182"/>
    <x v="282"/>
    <s v="A-L-1"/>
    <n v="3"/>
    <x v="282"/>
    <s v="ade8c@1und1.de"/>
    <x v="0"/>
    <s v="Ara"/>
    <s v="L"/>
    <x v="0"/>
    <n v="12.95"/>
    <n v="38.849999999999994"/>
    <x v="2"/>
    <x v="1"/>
    <x v="0"/>
    <n v="3.4965000000000002"/>
  </r>
  <r>
    <s v="WIT-40912-783"/>
    <x v="255"/>
    <x v="283"/>
    <s v="L-D-0.2"/>
    <n v="4"/>
    <x v="283"/>
    <s v="tjedrachowicz8d@acquirethisname.com"/>
    <x v="0"/>
    <s v="Lib"/>
    <s v="D"/>
    <x v="3"/>
    <n v="3.8849999999999998"/>
    <n v="15.54"/>
    <x v="3"/>
    <x v="2"/>
    <x v="0"/>
    <n v="2.0202"/>
  </r>
  <r>
    <s v="PSD-57291-590"/>
    <x v="256"/>
    <x v="284"/>
    <s v="A-M-0.5"/>
    <n v="1"/>
    <x v="284"/>
    <s v="pstonner8e@moonfruit.com"/>
    <x v="0"/>
    <s v="Ara"/>
    <s v="M"/>
    <x v="1"/>
    <n v="6.75"/>
    <n v="6.75"/>
    <x v="2"/>
    <x v="0"/>
    <x v="1"/>
    <n v="0.60749999999999993"/>
  </r>
  <r>
    <s v="GOI-41472-677"/>
    <x v="3"/>
    <x v="285"/>
    <s v="E-D-2.5"/>
    <n v="4"/>
    <x v="285"/>
    <s v="dtingly8f@goo.ne.jp"/>
    <x v="0"/>
    <s v="Exc"/>
    <s v="D"/>
    <x v="2"/>
    <n v="27.945"/>
    <n v="111.78"/>
    <x v="1"/>
    <x v="2"/>
    <x v="0"/>
    <n v="12.2958"/>
  </r>
  <r>
    <s v="KTX-17944-494"/>
    <x v="257"/>
    <x v="286"/>
    <s v="A-L-0.2"/>
    <n v="1"/>
    <x v="286"/>
    <s v="crushe8n@about.me"/>
    <x v="0"/>
    <s v="Ara"/>
    <s v="L"/>
    <x v="3"/>
    <n v="3.8849999999999998"/>
    <n v="3.8849999999999998"/>
    <x v="2"/>
    <x v="1"/>
    <x v="0"/>
    <n v="0.34964999999999996"/>
  </r>
  <r>
    <s v="RDM-99811-230"/>
    <x v="258"/>
    <x v="287"/>
    <s v="L-M-0.2"/>
    <n v="5"/>
    <x v="287"/>
    <s v="bchecci8h@usa.gov"/>
    <x v="2"/>
    <s v="Lib"/>
    <s v="M"/>
    <x v="3"/>
    <n v="4.3650000000000002"/>
    <n v="21.825000000000003"/>
    <x v="3"/>
    <x v="0"/>
    <x v="1"/>
    <n v="2.83725"/>
  </r>
  <r>
    <s v="JTU-55897-581"/>
    <x v="259"/>
    <x v="288"/>
    <s v="R-M-0.2"/>
    <n v="5"/>
    <x v="288"/>
    <s v="jbagot8i@mac.com"/>
    <x v="0"/>
    <s v="Rob"/>
    <s v="M"/>
    <x v="3"/>
    <n v="2.9849999999999999"/>
    <n v="14.924999999999999"/>
    <x v="0"/>
    <x v="0"/>
    <x v="1"/>
    <n v="0.89549999999999996"/>
  </r>
  <r>
    <s v="CRK-07584-240"/>
    <x v="260"/>
    <x v="289"/>
    <s v="A-M-1"/>
    <n v="3"/>
    <x v="289"/>
    <s v="ebeeble8j@soundcloud.com"/>
    <x v="0"/>
    <s v="Ara"/>
    <s v="M"/>
    <x v="0"/>
    <n v="11.25"/>
    <n v="33.75"/>
    <x v="2"/>
    <x v="0"/>
    <x v="0"/>
    <n v="3.0374999999999996"/>
  </r>
  <r>
    <s v="MKE-75518-399"/>
    <x v="261"/>
    <x v="290"/>
    <s v="A-M-1"/>
    <n v="3"/>
    <x v="290"/>
    <s v="cfluin8k@flickr.com"/>
    <x v="2"/>
    <s v="Ara"/>
    <s v="M"/>
    <x v="0"/>
    <n v="11.25"/>
    <n v="33.75"/>
    <x v="2"/>
    <x v="0"/>
    <x v="1"/>
    <n v="3.0374999999999996"/>
  </r>
  <r>
    <s v="AEL-51169-725"/>
    <x v="262"/>
    <x v="291"/>
    <s v="L-M-0.2"/>
    <n v="6"/>
    <x v="291"/>
    <s v="ebletsor8l@vinaora.com"/>
    <x v="0"/>
    <s v="Lib"/>
    <s v="M"/>
    <x v="3"/>
    <n v="4.3650000000000002"/>
    <n v="26.19"/>
    <x v="3"/>
    <x v="0"/>
    <x v="0"/>
    <n v="3.4047000000000001"/>
  </r>
  <r>
    <s v="ZGM-83108-823"/>
    <x v="263"/>
    <x v="292"/>
    <s v="E-L-1"/>
    <n v="1"/>
    <x v="292"/>
    <s v="pbrydell8m@bloglovin.com"/>
    <x v="1"/>
    <s v="Exc"/>
    <s v="L"/>
    <x v="0"/>
    <n v="14.85"/>
    <n v="14.85"/>
    <x v="1"/>
    <x v="1"/>
    <x v="1"/>
    <n v="1.6335"/>
  </r>
  <r>
    <s v="JBP-78754-392"/>
    <x v="212"/>
    <x v="286"/>
    <s v="E-M-2.5"/>
    <n v="6"/>
    <x v="286"/>
    <s v="crushe8n@about.me"/>
    <x v="0"/>
    <s v="Exc"/>
    <s v="M"/>
    <x v="2"/>
    <n v="31.624999999999996"/>
    <n v="189.74999999999997"/>
    <x v="1"/>
    <x v="0"/>
    <x v="0"/>
    <n v="20.872499999999999"/>
  </r>
  <r>
    <s v="RNH-54912-747"/>
    <x v="187"/>
    <x v="293"/>
    <s v="R-M-0.5"/>
    <n v="1"/>
    <x v="293"/>
    <s v="nleethem8o@mac.com"/>
    <x v="0"/>
    <s v="Rob"/>
    <s v="M"/>
    <x v="1"/>
    <n v="5.97"/>
    <n v="5.97"/>
    <x v="0"/>
    <x v="0"/>
    <x v="0"/>
    <n v="0.35819999999999996"/>
  </r>
  <r>
    <s v="JDS-33440-914"/>
    <x v="248"/>
    <x v="294"/>
    <s v="R-M-1"/>
    <n v="3"/>
    <x v="294"/>
    <s v="anesfield8p@people.com.cn"/>
    <x v="2"/>
    <s v="Rob"/>
    <s v="M"/>
    <x v="0"/>
    <n v="9.9499999999999993"/>
    <n v="29.849999999999998"/>
    <x v="0"/>
    <x v="0"/>
    <x v="0"/>
    <n v="1.7909999999999999"/>
  </r>
  <r>
    <s v="SYX-48878-182"/>
    <x v="264"/>
    <x v="295"/>
    <s v="R-D-1"/>
    <n v="5"/>
    <x v="295"/>
    <s v=""/>
    <x v="0"/>
    <s v="Rob"/>
    <s v="D"/>
    <x v="0"/>
    <n v="8.9499999999999993"/>
    <n v="44.75"/>
    <x v="0"/>
    <x v="2"/>
    <x v="1"/>
    <n v="2.6849999999999996"/>
  </r>
  <r>
    <s v="ZGD-94763-868"/>
    <x v="265"/>
    <x v="296"/>
    <s v="E-L-2.5"/>
    <n v="1"/>
    <x v="296"/>
    <s v="mbrockway8r@ibm.com"/>
    <x v="0"/>
    <s v="Exc"/>
    <s v="L"/>
    <x v="2"/>
    <n v="34.154999999999994"/>
    <n v="34.154999999999994"/>
    <x v="1"/>
    <x v="1"/>
    <x v="0"/>
    <n v="3.7570499999999996"/>
  </r>
  <r>
    <s v="CZY-70361-485"/>
    <x v="266"/>
    <x v="297"/>
    <s v="E-L-2.5"/>
    <n v="6"/>
    <x v="297"/>
    <s v="nlush8s@dedecms.com"/>
    <x v="1"/>
    <s v="Exc"/>
    <s v="L"/>
    <x v="2"/>
    <n v="34.154999999999994"/>
    <n v="204.92999999999995"/>
    <x v="1"/>
    <x v="1"/>
    <x v="1"/>
    <n v="22.542299999999997"/>
  </r>
  <r>
    <s v="RJR-12175-899"/>
    <x v="267"/>
    <x v="298"/>
    <s v="E-D-0.5"/>
    <n v="3"/>
    <x v="298"/>
    <s v="smcmillian8t@csmonitor.com"/>
    <x v="0"/>
    <s v="Exc"/>
    <s v="D"/>
    <x v="1"/>
    <n v="7.29"/>
    <n v="21.87"/>
    <x v="1"/>
    <x v="2"/>
    <x v="1"/>
    <n v="2.4057000000000004"/>
  </r>
  <r>
    <s v="ELB-07929-407"/>
    <x v="204"/>
    <x v="299"/>
    <s v="A-M-2.5"/>
    <n v="2"/>
    <x v="299"/>
    <s v="tbennison8u@google.cn"/>
    <x v="0"/>
    <s v="Ara"/>
    <s v="M"/>
    <x v="2"/>
    <n v="25.874999999999996"/>
    <n v="51.749999999999993"/>
    <x v="2"/>
    <x v="0"/>
    <x v="0"/>
    <n v="4.6574999999999989"/>
  </r>
  <r>
    <s v="UJQ-54441-340"/>
    <x v="268"/>
    <x v="300"/>
    <s v="E-M-0.2"/>
    <n v="2"/>
    <x v="300"/>
    <s v="gtweed8v@yolasite.com"/>
    <x v="0"/>
    <s v="Exc"/>
    <s v="M"/>
    <x v="3"/>
    <n v="4.125"/>
    <n v="8.25"/>
    <x v="1"/>
    <x v="0"/>
    <x v="0"/>
    <n v="0.90749999999999997"/>
  </r>
  <r>
    <s v="UJQ-54441-340"/>
    <x v="268"/>
    <x v="300"/>
    <s v="A-L-0.2"/>
    <n v="5"/>
    <x v="300"/>
    <s v="gtweed8v@yolasite.com"/>
    <x v="0"/>
    <s v="Ara"/>
    <s v="L"/>
    <x v="3"/>
    <n v="3.8849999999999998"/>
    <n v="19.424999999999997"/>
    <x v="2"/>
    <x v="1"/>
    <x v="0"/>
    <n v="1.7482499999999999"/>
  </r>
  <r>
    <s v="OWY-43108-475"/>
    <x v="269"/>
    <x v="301"/>
    <s v="A-M-0.2"/>
    <n v="6"/>
    <x v="301"/>
    <s v="ggoggin8x@wix.com"/>
    <x v="1"/>
    <s v="Ara"/>
    <s v="M"/>
    <x v="3"/>
    <n v="3.375"/>
    <n v="20.25"/>
    <x v="2"/>
    <x v="0"/>
    <x v="0"/>
    <n v="1.8224999999999998"/>
  </r>
  <r>
    <s v="GNO-91911-159"/>
    <x v="145"/>
    <x v="302"/>
    <s v="L-D-0.5"/>
    <n v="3"/>
    <x v="302"/>
    <s v="sjeyness8y@biglobe.ne.jp"/>
    <x v="1"/>
    <s v="Lib"/>
    <s v="D"/>
    <x v="1"/>
    <n v="7.77"/>
    <n v="23.31"/>
    <x v="3"/>
    <x v="2"/>
    <x v="1"/>
    <n v="3.0303"/>
  </r>
  <r>
    <s v="CNY-06284-066"/>
    <x v="270"/>
    <x v="303"/>
    <s v="E-D-0.2"/>
    <n v="5"/>
    <x v="303"/>
    <s v="dbonhome8z@shinystat.com"/>
    <x v="0"/>
    <s v="Exc"/>
    <s v="D"/>
    <x v="3"/>
    <n v="3.645"/>
    <n v="18.225000000000001"/>
    <x v="1"/>
    <x v="2"/>
    <x v="0"/>
    <n v="2.00475"/>
  </r>
  <r>
    <s v="OQS-46321-904"/>
    <x v="271"/>
    <x v="304"/>
    <s v="E-M-1"/>
    <n v="1"/>
    <x v="304"/>
    <s v=""/>
    <x v="0"/>
    <s v="Exc"/>
    <s v="M"/>
    <x v="0"/>
    <n v="13.75"/>
    <n v="13.75"/>
    <x v="1"/>
    <x v="0"/>
    <x v="1"/>
    <n v="1.5125"/>
  </r>
  <r>
    <s v="IBW-87442-480"/>
    <x v="272"/>
    <x v="305"/>
    <s v="A-L-2.5"/>
    <n v="1"/>
    <x v="305"/>
    <s v="tle91@epa.gov"/>
    <x v="0"/>
    <s v="Ara"/>
    <s v="L"/>
    <x v="2"/>
    <n v="29.784999999999997"/>
    <n v="29.784999999999997"/>
    <x v="2"/>
    <x v="1"/>
    <x v="0"/>
    <n v="2.6806499999999995"/>
  </r>
  <r>
    <s v="DGZ-82537-477"/>
    <x v="252"/>
    <x v="306"/>
    <s v="R-D-1"/>
    <n v="5"/>
    <x v="306"/>
    <s v=""/>
    <x v="0"/>
    <s v="Rob"/>
    <s v="D"/>
    <x v="0"/>
    <n v="8.9499999999999993"/>
    <n v="44.75"/>
    <x v="0"/>
    <x v="2"/>
    <x v="1"/>
    <n v="2.6849999999999996"/>
  </r>
  <r>
    <s v="LPS-39089-432"/>
    <x v="273"/>
    <x v="307"/>
    <s v="R-D-1"/>
    <n v="5"/>
    <x v="307"/>
    <s v="balldridge93@yandex.ru"/>
    <x v="0"/>
    <s v="Rob"/>
    <s v="D"/>
    <x v="0"/>
    <n v="8.9499999999999993"/>
    <n v="44.75"/>
    <x v="0"/>
    <x v="2"/>
    <x v="0"/>
    <n v="2.6849999999999996"/>
  </r>
  <r>
    <s v="MQU-86100-929"/>
    <x v="274"/>
    <x v="308"/>
    <s v="L-L-0.5"/>
    <n v="4"/>
    <x v="308"/>
    <s v=""/>
    <x v="0"/>
    <s v="Lib"/>
    <s v="L"/>
    <x v="1"/>
    <n v="9.51"/>
    <n v="38.04"/>
    <x v="3"/>
    <x v="1"/>
    <x v="0"/>
    <n v="4.9451999999999998"/>
  </r>
  <r>
    <s v="XUR-14132-391"/>
    <x v="275"/>
    <x v="309"/>
    <s v="R-D-0.5"/>
    <n v="4"/>
    <x v="309"/>
    <s v="lgoodger95@guardian.co.uk"/>
    <x v="0"/>
    <s v="Rob"/>
    <s v="D"/>
    <x v="1"/>
    <n v="5.3699999999999992"/>
    <n v="21.479999999999997"/>
    <x v="0"/>
    <x v="2"/>
    <x v="0"/>
    <n v="1.2887999999999997"/>
  </r>
  <r>
    <s v="OVI-27064-381"/>
    <x v="276"/>
    <x v="298"/>
    <s v="R-D-0.5"/>
    <n v="3"/>
    <x v="298"/>
    <s v="smcmillian8t@csmonitor.com"/>
    <x v="0"/>
    <s v="Rob"/>
    <s v="D"/>
    <x v="1"/>
    <n v="5.3699999999999992"/>
    <n v="16.11"/>
    <x v="0"/>
    <x v="2"/>
    <x v="1"/>
    <n v="0.96659999999999979"/>
  </r>
  <r>
    <s v="SHP-17012-870"/>
    <x v="277"/>
    <x v="310"/>
    <s v="R-M-2.5"/>
    <n v="1"/>
    <x v="310"/>
    <s v="cdrewett97@wikipedia.org"/>
    <x v="0"/>
    <s v="Rob"/>
    <s v="M"/>
    <x v="2"/>
    <n v="22.884999999999998"/>
    <n v="22.884999999999998"/>
    <x v="0"/>
    <x v="0"/>
    <x v="0"/>
    <n v="1.3730999999999998"/>
  </r>
  <r>
    <s v="FDY-03414-903"/>
    <x v="278"/>
    <x v="311"/>
    <s v="A-D-0.5"/>
    <n v="3"/>
    <x v="311"/>
    <s v="qparsons98@blogtalkradio.com"/>
    <x v="0"/>
    <s v="Ara"/>
    <s v="D"/>
    <x v="1"/>
    <n v="5.97"/>
    <n v="17.91"/>
    <x v="2"/>
    <x v="2"/>
    <x v="0"/>
    <n v="1.6118999999999999"/>
  </r>
  <r>
    <s v="WXT-85291-143"/>
    <x v="279"/>
    <x v="312"/>
    <s v="R-M-0.5"/>
    <n v="4"/>
    <x v="312"/>
    <s v="vceely99@auda.org.au"/>
    <x v="0"/>
    <s v="Rob"/>
    <s v="M"/>
    <x v="1"/>
    <n v="5.97"/>
    <n v="23.88"/>
    <x v="0"/>
    <x v="0"/>
    <x v="0"/>
    <n v="1.4327999999999999"/>
  </r>
  <r>
    <s v="QNP-18893-547"/>
    <x v="280"/>
    <x v="313"/>
    <s v="R-L-1"/>
    <n v="5"/>
    <x v="313"/>
    <s v=""/>
    <x v="0"/>
    <s v="Rob"/>
    <s v="L"/>
    <x v="0"/>
    <n v="11.95"/>
    <n v="59.75"/>
    <x v="0"/>
    <x v="1"/>
    <x v="1"/>
    <n v="3.585"/>
  </r>
  <r>
    <s v="DOH-92927-530"/>
    <x v="281"/>
    <x v="314"/>
    <s v="L-L-0.2"/>
    <n v="6"/>
    <x v="314"/>
    <s v="cvasiliev9b@discuz.net"/>
    <x v="0"/>
    <s v="Lib"/>
    <s v="L"/>
    <x v="3"/>
    <n v="4.7549999999999999"/>
    <n v="28.53"/>
    <x v="3"/>
    <x v="1"/>
    <x v="0"/>
    <n v="3.7088999999999999"/>
  </r>
  <r>
    <s v="HGJ-82768-173"/>
    <x v="282"/>
    <x v="315"/>
    <s v="A-M-1"/>
    <n v="4"/>
    <x v="315"/>
    <s v="tomoylan9c@liveinternet.ru"/>
    <x v="2"/>
    <s v="Ara"/>
    <s v="M"/>
    <x v="0"/>
    <n v="11.25"/>
    <n v="45"/>
    <x v="2"/>
    <x v="0"/>
    <x v="1"/>
    <n v="4.05"/>
  </r>
  <r>
    <s v="YPT-95383-088"/>
    <x v="283"/>
    <x v="306"/>
    <s v="E-D-2.5"/>
    <n v="2"/>
    <x v="306"/>
    <s v=""/>
    <x v="0"/>
    <s v="Exc"/>
    <s v="D"/>
    <x v="2"/>
    <n v="27.945"/>
    <n v="55.89"/>
    <x v="1"/>
    <x v="2"/>
    <x v="1"/>
    <n v="6.1478999999999999"/>
  </r>
  <r>
    <s v="OYH-16533-767"/>
    <x v="284"/>
    <x v="316"/>
    <s v="E-L-1"/>
    <n v="4"/>
    <x v="316"/>
    <s v="wfetherston9e@constantcontact.com"/>
    <x v="0"/>
    <s v="Exc"/>
    <s v="L"/>
    <x v="0"/>
    <n v="14.85"/>
    <n v="59.4"/>
    <x v="1"/>
    <x v="1"/>
    <x v="1"/>
    <n v="6.5339999999999998"/>
  </r>
  <r>
    <s v="DWW-28642-549"/>
    <x v="285"/>
    <x v="317"/>
    <s v="E-D-0.2"/>
    <n v="2"/>
    <x v="317"/>
    <s v="erasmus9f@techcrunch.com"/>
    <x v="0"/>
    <s v="Exc"/>
    <s v="D"/>
    <x v="3"/>
    <n v="3.645"/>
    <n v="7.29"/>
    <x v="1"/>
    <x v="2"/>
    <x v="0"/>
    <n v="0.80190000000000006"/>
  </r>
  <r>
    <s v="CGO-79583-871"/>
    <x v="286"/>
    <x v="318"/>
    <s v="E-D-0.5"/>
    <n v="1"/>
    <x v="318"/>
    <s v="wgiorgioni9g@wikipedia.org"/>
    <x v="0"/>
    <s v="Exc"/>
    <s v="D"/>
    <x v="1"/>
    <n v="7.29"/>
    <n v="7.29"/>
    <x v="1"/>
    <x v="2"/>
    <x v="0"/>
    <n v="0.80190000000000006"/>
  </r>
  <r>
    <s v="TFY-52090-386"/>
    <x v="287"/>
    <x v="319"/>
    <s v="E-L-0.5"/>
    <n v="2"/>
    <x v="319"/>
    <s v="lscargle9h@myspace.com"/>
    <x v="0"/>
    <s v="Exc"/>
    <s v="L"/>
    <x v="1"/>
    <n v="8.91"/>
    <n v="17.82"/>
    <x v="1"/>
    <x v="1"/>
    <x v="1"/>
    <n v="1.9601999999999999"/>
  </r>
  <r>
    <s v="TFY-52090-386"/>
    <x v="287"/>
    <x v="319"/>
    <s v="L-D-0.5"/>
    <n v="5"/>
    <x v="319"/>
    <s v="lscargle9h@myspace.com"/>
    <x v="0"/>
    <s v="Lib"/>
    <s v="D"/>
    <x v="1"/>
    <n v="7.77"/>
    <n v="38.849999999999994"/>
    <x v="3"/>
    <x v="2"/>
    <x v="1"/>
    <n v="5.0504999999999995"/>
  </r>
  <r>
    <s v="NYY-73968-094"/>
    <x v="288"/>
    <x v="320"/>
    <s v="R-D-0.5"/>
    <n v="6"/>
    <x v="320"/>
    <s v="nclimance9j@europa.eu"/>
    <x v="0"/>
    <s v="Rob"/>
    <s v="D"/>
    <x v="1"/>
    <n v="5.3699999999999992"/>
    <n v="32.22"/>
    <x v="0"/>
    <x v="2"/>
    <x v="1"/>
    <n v="1.9331999999999996"/>
  </r>
  <r>
    <s v="QEY-71761-460"/>
    <x v="250"/>
    <x v="321"/>
    <s v="R-M-1"/>
    <n v="2"/>
    <x v="321"/>
    <s v=""/>
    <x v="1"/>
    <s v="Rob"/>
    <s v="M"/>
    <x v="0"/>
    <n v="9.9499999999999993"/>
    <n v="19.899999999999999"/>
    <x v="0"/>
    <x v="0"/>
    <x v="0"/>
    <n v="1.194"/>
  </r>
  <r>
    <s v="GKQ-82603-910"/>
    <x v="289"/>
    <x v="322"/>
    <s v="R-L-1"/>
    <n v="5"/>
    <x v="322"/>
    <s v="asnazle9l@oracle.com"/>
    <x v="0"/>
    <s v="Rob"/>
    <s v="L"/>
    <x v="0"/>
    <n v="11.95"/>
    <n v="59.75"/>
    <x v="0"/>
    <x v="1"/>
    <x v="1"/>
    <n v="3.585"/>
  </r>
  <r>
    <s v="IOB-32673-745"/>
    <x v="290"/>
    <x v="323"/>
    <s v="A-L-0.5"/>
    <n v="3"/>
    <x v="323"/>
    <s v="rworg9m@arstechnica.com"/>
    <x v="0"/>
    <s v="Ara"/>
    <s v="L"/>
    <x v="1"/>
    <n v="7.77"/>
    <n v="23.31"/>
    <x v="2"/>
    <x v="1"/>
    <x v="0"/>
    <n v="2.0978999999999997"/>
  </r>
  <r>
    <s v="YAU-98893-150"/>
    <x v="291"/>
    <x v="324"/>
    <s v="L-M-1"/>
    <n v="3"/>
    <x v="324"/>
    <s v="ldanes9n@umn.edu"/>
    <x v="0"/>
    <s v="Lib"/>
    <s v="M"/>
    <x v="0"/>
    <n v="14.55"/>
    <n v="43.650000000000006"/>
    <x v="3"/>
    <x v="0"/>
    <x v="1"/>
    <n v="5.6745000000000001"/>
  </r>
  <r>
    <s v="XNM-14163-951"/>
    <x v="292"/>
    <x v="325"/>
    <s v="E-L-2.5"/>
    <n v="6"/>
    <x v="325"/>
    <s v="skeynd9o@narod.ru"/>
    <x v="0"/>
    <s v="Exc"/>
    <s v="L"/>
    <x v="2"/>
    <n v="34.154999999999994"/>
    <n v="204.92999999999995"/>
    <x v="1"/>
    <x v="1"/>
    <x v="1"/>
    <n v="22.542299999999997"/>
  </r>
  <r>
    <s v="JPB-45297-000"/>
    <x v="293"/>
    <x v="326"/>
    <s v="R-L-0.2"/>
    <n v="4"/>
    <x v="326"/>
    <s v="ddaveridge9p@arstechnica.com"/>
    <x v="0"/>
    <s v="Rob"/>
    <s v="L"/>
    <x v="3"/>
    <n v="3.5849999999999995"/>
    <n v="14.339999999999998"/>
    <x v="0"/>
    <x v="1"/>
    <x v="1"/>
    <n v="0.86039999999999983"/>
  </r>
  <r>
    <s v="MOU-74341-266"/>
    <x v="294"/>
    <x v="327"/>
    <s v="A-D-0.5"/>
    <n v="4"/>
    <x v="327"/>
    <s v="jawdry9q@utexas.edu"/>
    <x v="0"/>
    <s v="Ara"/>
    <s v="D"/>
    <x v="1"/>
    <n v="5.97"/>
    <n v="23.88"/>
    <x v="2"/>
    <x v="2"/>
    <x v="1"/>
    <n v="2.1492"/>
  </r>
  <r>
    <s v="DHJ-87461-571"/>
    <x v="295"/>
    <x v="328"/>
    <s v="A-M-1"/>
    <n v="2"/>
    <x v="328"/>
    <s v="eryles9r@fastcompany.com"/>
    <x v="0"/>
    <s v="Ara"/>
    <s v="M"/>
    <x v="0"/>
    <n v="11.25"/>
    <n v="22.5"/>
    <x v="2"/>
    <x v="0"/>
    <x v="1"/>
    <n v="2.0249999999999999"/>
  </r>
  <r>
    <s v="DKM-97676-850"/>
    <x v="296"/>
    <x v="306"/>
    <s v="E-D-0.5"/>
    <n v="5"/>
    <x v="306"/>
    <s v=""/>
    <x v="0"/>
    <s v="Exc"/>
    <s v="D"/>
    <x v="1"/>
    <n v="7.29"/>
    <n v="36.450000000000003"/>
    <x v="1"/>
    <x v="2"/>
    <x v="1"/>
    <n v="4.0095000000000001"/>
  </r>
  <r>
    <s v="UEB-09112-118"/>
    <x v="297"/>
    <x v="329"/>
    <s v="A-M-0.5"/>
    <n v="4"/>
    <x v="329"/>
    <s v=""/>
    <x v="0"/>
    <s v="Ara"/>
    <s v="M"/>
    <x v="1"/>
    <n v="6.75"/>
    <n v="27"/>
    <x v="2"/>
    <x v="0"/>
    <x v="0"/>
    <n v="2.4299999999999997"/>
  </r>
  <r>
    <s v="ORZ-67699-748"/>
    <x v="298"/>
    <x v="330"/>
    <s v="A-M-2.5"/>
    <n v="6"/>
    <x v="330"/>
    <s v="jcaldicott9u@usda.gov"/>
    <x v="0"/>
    <s v="Ara"/>
    <s v="M"/>
    <x v="2"/>
    <n v="25.874999999999996"/>
    <n v="155.24999999999997"/>
    <x v="2"/>
    <x v="0"/>
    <x v="1"/>
    <n v="13.972499999999997"/>
  </r>
  <r>
    <s v="JXP-28398-485"/>
    <x v="299"/>
    <x v="331"/>
    <s v="A-D-2.5"/>
    <n v="5"/>
    <x v="331"/>
    <s v="mvedmore9v@a8.net"/>
    <x v="0"/>
    <s v="Ara"/>
    <s v="D"/>
    <x v="2"/>
    <n v="22.884999999999998"/>
    <n v="114.42499999999998"/>
    <x v="2"/>
    <x v="2"/>
    <x v="0"/>
    <n v="10.298249999999998"/>
  </r>
  <r>
    <s v="WWH-92259-198"/>
    <x v="300"/>
    <x v="332"/>
    <s v="L-D-1"/>
    <n v="4"/>
    <x v="332"/>
    <s v="wromao9w@chronoengine.com"/>
    <x v="0"/>
    <s v="Lib"/>
    <s v="D"/>
    <x v="0"/>
    <n v="12.95"/>
    <n v="51.8"/>
    <x v="3"/>
    <x v="2"/>
    <x v="0"/>
    <n v="6.734"/>
  </r>
  <r>
    <s v="FLR-82914-153"/>
    <x v="301"/>
    <x v="333"/>
    <s v="A-M-2.5"/>
    <n v="6"/>
    <x v="333"/>
    <s v=""/>
    <x v="0"/>
    <s v="Ara"/>
    <s v="M"/>
    <x v="2"/>
    <n v="25.874999999999996"/>
    <n v="155.24999999999997"/>
    <x v="2"/>
    <x v="0"/>
    <x v="1"/>
    <n v="13.972499999999997"/>
  </r>
  <r>
    <s v="AMB-93600-000"/>
    <x v="302"/>
    <x v="334"/>
    <s v="A-L-2.5"/>
    <n v="1"/>
    <x v="334"/>
    <s v="tcotmore9y@amazonaws.com"/>
    <x v="0"/>
    <s v="Ara"/>
    <s v="L"/>
    <x v="2"/>
    <n v="29.784999999999997"/>
    <n v="29.784999999999997"/>
    <x v="2"/>
    <x v="1"/>
    <x v="1"/>
    <n v="2.6806499999999995"/>
  </r>
  <r>
    <s v="FEP-36895-658"/>
    <x v="303"/>
    <x v="335"/>
    <s v="R-L-0.2"/>
    <n v="6"/>
    <x v="335"/>
    <s v="yskipsey9z@spotify.com"/>
    <x v="2"/>
    <s v="Rob"/>
    <s v="L"/>
    <x v="3"/>
    <n v="3.5849999999999995"/>
    <n v="21.509999999999998"/>
    <x v="0"/>
    <x v="1"/>
    <x v="1"/>
    <n v="1.2905999999999997"/>
  </r>
  <r>
    <s v="RXW-91413-276"/>
    <x v="304"/>
    <x v="336"/>
    <s v="R-D-2.5"/>
    <n v="2"/>
    <x v="336"/>
    <s v="ncorpsa0@gmpg.org"/>
    <x v="0"/>
    <s v="Rob"/>
    <s v="D"/>
    <x v="2"/>
    <n v="20.584999999999997"/>
    <n v="41.169999999999995"/>
    <x v="0"/>
    <x v="2"/>
    <x v="1"/>
    <n v="2.4701999999999997"/>
  </r>
  <r>
    <s v="RXW-91413-276"/>
    <x v="304"/>
    <x v="336"/>
    <s v="R-M-0.5"/>
    <n v="1"/>
    <x v="336"/>
    <s v="ncorpsa0@gmpg.org"/>
    <x v="0"/>
    <s v="Rob"/>
    <s v="M"/>
    <x v="1"/>
    <n v="5.97"/>
    <n v="5.97"/>
    <x v="0"/>
    <x v="0"/>
    <x v="1"/>
    <n v="0.35819999999999996"/>
  </r>
  <r>
    <s v="SDB-77492-188"/>
    <x v="305"/>
    <x v="337"/>
    <s v="E-L-1"/>
    <n v="5"/>
    <x v="337"/>
    <s v="fbabbera2@stanford.edu"/>
    <x v="0"/>
    <s v="Exc"/>
    <s v="L"/>
    <x v="0"/>
    <n v="14.85"/>
    <n v="74.25"/>
    <x v="1"/>
    <x v="1"/>
    <x v="0"/>
    <n v="8.1675000000000004"/>
  </r>
  <r>
    <s v="RZN-65182-395"/>
    <x v="196"/>
    <x v="338"/>
    <s v="L-M-1"/>
    <n v="6"/>
    <x v="338"/>
    <s v="kloxtona3@opensource.org"/>
    <x v="0"/>
    <s v="Lib"/>
    <s v="M"/>
    <x v="0"/>
    <n v="14.55"/>
    <n v="87.300000000000011"/>
    <x v="3"/>
    <x v="0"/>
    <x v="1"/>
    <n v="11.349"/>
  </r>
  <r>
    <s v="HDQ-86094-507"/>
    <x v="110"/>
    <x v="339"/>
    <s v="E-D-1"/>
    <n v="6"/>
    <x v="339"/>
    <s v="ptoffula4@posterous.com"/>
    <x v="0"/>
    <s v="Exc"/>
    <s v="D"/>
    <x v="0"/>
    <n v="12.15"/>
    <n v="72.900000000000006"/>
    <x v="1"/>
    <x v="2"/>
    <x v="0"/>
    <n v="8.0190000000000001"/>
  </r>
  <r>
    <s v="YXO-79631-417"/>
    <x v="24"/>
    <x v="340"/>
    <s v="L-D-0.5"/>
    <n v="1"/>
    <x v="340"/>
    <s v="cgwinnetta5@behance.net"/>
    <x v="0"/>
    <s v="Lib"/>
    <s v="D"/>
    <x v="1"/>
    <n v="7.77"/>
    <n v="7.77"/>
    <x v="3"/>
    <x v="2"/>
    <x v="1"/>
    <n v="1.0101"/>
  </r>
  <r>
    <s v="SNF-57032-096"/>
    <x v="306"/>
    <x v="341"/>
    <s v="E-D-0.5"/>
    <n v="6"/>
    <x v="341"/>
    <s v=""/>
    <x v="0"/>
    <s v="Exc"/>
    <s v="D"/>
    <x v="1"/>
    <n v="7.29"/>
    <n v="43.74"/>
    <x v="1"/>
    <x v="2"/>
    <x v="1"/>
    <n v="4.8114000000000008"/>
  </r>
  <r>
    <s v="DGL-29648-995"/>
    <x v="307"/>
    <x v="342"/>
    <s v="L-M-0.2"/>
    <n v="2"/>
    <x v="342"/>
    <s v=""/>
    <x v="0"/>
    <s v="Lib"/>
    <s v="M"/>
    <x v="3"/>
    <n v="4.3650000000000002"/>
    <n v="8.73"/>
    <x v="3"/>
    <x v="0"/>
    <x v="0"/>
    <n v="1.1349"/>
  </r>
  <r>
    <s v="GPU-65651-504"/>
    <x v="308"/>
    <x v="343"/>
    <s v="E-M-2.5"/>
    <n v="2"/>
    <x v="343"/>
    <s v="lflaoniera8@wordpress.org"/>
    <x v="0"/>
    <s v="Exc"/>
    <s v="M"/>
    <x v="2"/>
    <n v="31.624999999999996"/>
    <n v="63.249999999999993"/>
    <x v="1"/>
    <x v="0"/>
    <x v="1"/>
    <n v="6.9574999999999996"/>
  </r>
  <r>
    <s v="OJU-34452-896"/>
    <x v="309"/>
    <x v="344"/>
    <s v="E-L-0.5"/>
    <n v="1"/>
    <x v="344"/>
    <s v=""/>
    <x v="0"/>
    <s v="Exc"/>
    <s v="L"/>
    <x v="1"/>
    <n v="8.91"/>
    <n v="8.91"/>
    <x v="1"/>
    <x v="1"/>
    <x v="0"/>
    <n v="0.98009999999999997"/>
  </r>
  <r>
    <s v="GZS-50547-887"/>
    <x v="310"/>
    <x v="345"/>
    <s v="E-D-1"/>
    <n v="2"/>
    <x v="345"/>
    <s v="ccatchesideaa@macromedia.com"/>
    <x v="0"/>
    <s v="Exc"/>
    <s v="D"/>
    <x v="0"/>
    <n v="12.15"/>
    <n v="24.3"/>
    <x v="1"/>
    <x v="2"/>
    <x v="0"/>
    <n v="2.673"/>
  </r>
  <r>
    <s v="ESR-54041-053"/>
    <x v="311"/>
    <x v="346"/>
    <s v="A-L-0.5"/>
    <n v="6"/>
    <x v="346"/>
    <s v="cgibbonsonab@accuweather.com"/>
    <x v="0"/>
    <s v="Ara"/>
    <s v="L"/>
    <x v="1"/>
    <n v="7.77"/>
    <n v="46.62"/>
    <x v="2"/>
    <x v="1"/>
    <x v="0"/>
    <n v="4.1957999999999993"/>
  </r>
  <r>
    <s v="OGD-10781-526"/>
    <x v="132"/>
    <x v="347"/>
    <s v="R-L-0.5"/>
    <n v="6"/>
    <x v="347"/>
    <s v="tfarraac@behance.net"/>
    <x v="0"/>
    <s v="Rob"/>
    <s v="L"/>
    <x v="1"/>
    <n v="7.169999999999999"/>
    <n v="43.019999999999996"/>
    <x v="0"/>
    <x v="1"/>
    <x v="1"/>
    <n v="2.5811999999999995"/>
  </r>
  <r>
    <s v="FVH-29271-315"/>
    <x v="312"/>
    <x v="348"/>
    <s v="A-D-0.5"/>
    <n v="3"/>
    <x v="348"/>
    <s v=""/>
    <x v="1"/>
    <s v="Ara"/>
    <s v="D"/>
    <x v="1"/>
    <n v="5.97"/>
    <n v="17.91"/>
    <x v="2"/>
    <x v="2"/>
    <x v="0"/>
    <n v="1.6118999999999999"/>
  </r>
  <r>
    <s v="BNZ-20544-633"/>
    <x v="313"/>
    <x v="349"/>
    <s v="L-L-0.5"/>
    <n v="4"/>
    <x v="349"/>
    <s v="gbamfieldae@yellowpages.com"/>
    <x v="0"/>
    <s v="Lib"/>
    <s v="L"/>
    <x v="1"/>
    <n v="9.51"/>
    <n v="38.04"/>
    <x v="3"/>
    <x v="1"/>
    <x v="0"/>
    <n v="4.9451999999999998"/>
  </r>
  <r>
    <s v="FUX-85791-078"/>
    <x v="156"/>
    <x v="350"/>
    <s v="A-M-0.2"/>
    <n v="2"/>
    <x v="350"/>
    <s v="whollingdaleaf@about.me"/>
    <x v="0"/>
    <s v="Ara"/>
    <s v="M"/>
    <x v="3"/>
    <n v="3.375"/>
    <n v="6.75"/>
    <x v="2"/>
    <x v="0"/>
    <x v="0"/>
    <n v="0.60749999999999993"/>
  </r>
  <r>
    <s v="YXP-20078-116"/>
    <x v="314"/>
    <x v="351"/>
    <s v="R-M-0.5"/>
    <n v="1"/>
    <x v="351"/>
    <s v="jdeag@xrea.com"/>
    <x v="0"/>
    <s v="Rob"/>
    <s v="M"/>
    <x v="1"/>
    <n v="5.97"/>
    <n v="5.97"/>
    <x v="0"/>
    <x v="0"/>
    <x v="0"/>
    <n v="0.35819999999999996"/>
  </r>
  <r>
    <s v="VQV-59984-866"/>
    <x v="315"/>
    <x v="352"/>
    <s v="R-D-0.2"/>
    <n v="3"/>
    <x v="352"/>
    <s v="vskulletah@tinyurl.com"/>
    <x v="1"/>
    <s v="Rob"/>
    <s v="D"/>
    <x v="3"/>
    <n v="2.6849999999999996"/>
    <n v="8.0549999999999997"/>
    <x v="0"/>
    <x v="2"/>
    <x v="1"/>
    <n v="0.4832999999999999"/>
  </r>
  <r>
    <s v="JEH-37276-048"/>
    <x v="316"/>
    <x v="353"/>
    <s v="A-L-0.5"/>
    <n v="3"/>
    <x v="353"/>
    <s v="jrudeforthai@wunderground.com"/>
    <x v="1"/>
    <s v="Ara"/>
    <s v="L"/>
    <x v="1"/>
    <n v="7.77"/>
    <n v="23.31"/>
    <x v="2"/>
    <x v="1"/>
    <x v="0"/>
    <n v="2.0978999999999997"/>
  </r>
  <r>
    <s v="VYD-28555-589"/>
    <x v="317"/>
    <x v="354"/>
    <s v="R-L-0.5"/>
    <n v="6"/>
    <x v="354"/>
    <s v="atomaszewskiaj@answers.com"/>
    <x v="2"/>
    <s v="Rob"/>
    <s v="L"/>
    <x v="1"/>
    <n v="7.169999999999999"/>
    <n v="43.019999999999996"/>
    <x v="0"/>
    <x v="1"/>
    <x v="0"/>
    <n v="2.5811999999999995"/>
  </r>
  <r>
    <s v="WUG-76466-650"/>
    <x v="318"/>
    <x v="306"/>
    <s v="L-D-0.5"/>
    <n v="3"/>
    <x v="306"/>
    <s v=""/>
    <x v="0"/>
    <s v="Lib"/>
    <s v="D"/>
    <x v="1"/>
    <n v="7.77"/>
    <n v="23.31"/>
    <x v="3"/>
    <x v="2"/>
    <x v="1"/>
    <n v="3.0303"/>
  </r>
  <r>
    <s v="RJV-08261-583"/>
    <x v="182"/>
    <x v="355"/>
    <s v="A-D-0.2"/>
    <n v="5"/>
    <x v="355"/>
    <s v="pbessal@qq.com"/>
    <x v="0"/>
    <s v="Ara"/>
    <s v="D"/>
    <x v="3"/>
    <n v="2.9849999999999999"/>
    <n v="14.924999999999999"/>
    <x v="2"/>
    <x v="2"/>
    <x v="0"/>
    <n v="1.3432500000000001"/>
  </r>
  <r>
    <s v="PMR-56062-609"/>
    <x v="319"/>
    <x v="356"/>
    <s v="E-D-0.5"/>
    <n v="3"/>
    <x v="356"/>
    <s v="ewindressam@marketwatch.com"/>
    <x v="0"/>
    <s v="Exc"/>
    <s v="D"/>
    <x v="1"/>
    <n v="7.29"/>
    <n v="21.87"/>
    <x v="1"/>
    <x v="2"/>
    <x v="1"/>
    <n v="2.4057000000000004"/>
  </r>
  <r>
    <s v="XLD-12920-505"/>
    <x v="320"/>
    <x v="357"/>
    <s v="E-L-0.5"/>
    <n v="6"/>
    <x v="357"/>
    <s v=""/>
    <x v="0"/>
    <s v="Exc"/>
    <s v="L"/>
    <x v="1"/>
    <n v="8.91"/>
    <n v="53.46"/>
    <x v="1"/>
    <x v="1"/>
    <x v="0"/>
    <n v="5.8805999999999994"/>
  </r>
  <r>
    <s v="UBW-50312-037"/>
    <x v="321"/>
    <x v="358"/>
    <s v="A-L-2.5"/>
    <n v="4"/>
    <x v="358"/>
    <s v=""/>
    <x v="0"/>
    <s v="Ara"/>
    <s v="L"/>
    <x v="2"/>
    <n v="29.784999999999997"/>
    <n v="119.13999999999999"/>
    <x v="2"/>
    <x v="1"/>
    <x v="1"/>
    <n v="10.722599999999998"/>
  </r>
  <r>
    <s v="QAW-05889-019"/>
    <x v="322"/>
    <x v="359"/>
    <s v="L-M-0.5"/>
    <n v="5"/>
    <x v="359"/>
    <s v="vbaumadierap@google.cn"/>
    <x v="0"/>
    <s v="Lib"/>
    <s v="M"/>
    <x v="1"/>
    <n v="8.73"/>
    <n v="43.650000000000006"/>
    <x v="3"/>
    <x v="0"/>
    <x v="0"/>
    <n v="5.6745000000000001"/>
  </r>
  <r>
    <s v="EPT-12715-397"/>
    <x v="128"/>
    <x v="360"/>
    <s v="A-D-0.2"/>
    <n v="6"/>
    <x v="360"/>
    <s v=""/>
    <x v="0"/>
    <s v="Ara"/>
    <s v="D"/>
    <x v="3"/>
    <n v="2.9849999999999999"/>
    <n v="17.91"/>
    <x v="2"/>
    <x v="2"/>
    <x v="0"/>
    <n v="1.6118999999999999"/>
  </r>
  <r>
    <s v="DHT-93810-053"/>
    <x v="323"/>
    <x v="361"/>
    <s v="E-L-1"/>
    <n v="5"/>
    <x v="361"/>
    <s v="sweldsar@wired.com"/>
    <x v="0"/>
    <s v="Exc"/>
    <s v="L"/>
    <x v="0"/>
    <n v="14.85"/>
    <n v="74.25"/>
    <x v="1"/>
    <x v="1"/>
    <x v="0"/>
    <n v="8.1675000000000004"/>
  </r>
  <r>
    <s v="DMY-96037-963"/>
    <x v="324"/>
    <x v="362"/>
    <s v="L-D-0.2"/>
    <n v="3"/>
    <x v="362"/>
    <s v="msarvaras@artisteer.com"/>
    <x v="0"/>
    <s v="Lib"/>
    <s v="D"/>
    <x v="3"/>
    <n v="3.8849999999999998"/>
    <n v="11.654999999999999"/>
    <x v="3"/>
    <x v="2"/>
    <x v="0"/>
    <n v="1.51515"/>
  </r>
  <r>
    <s v="MBM-55936-917"/>
    <x v="325"/>
    <x v="363"/>
    <s v="L-D-0.5"/>
    <n v="3"/>
    <x v="363"/>
    <s v="ahavickat@nsw.gov.au"/>
    <x v="0"/>
    <s v="Lib"/>
    <s v="D"/>
    <x v="1"/>
    <n v="7.77"/>
    <n v="23.31"/>
    <x v="3"/>
    <x v="2"/>
    <x v="0"/>
    <n v="3.0303"/>
  </r>
  <r>
    <s v="TPA-93614-840"/>
    <x v="326"/>
    <x v="364"/>
    <s v="E-D-0.5"/>
    <n v="2"/>
    <x v="364"/>
    <s v="sdivinyau@ask.com"/>
    <x v="0"/>
    <s v="Exc"/>
    <s v="D"/>
    <x v="1"/>
    <n v="7.29"/>
    <n v="14.58"/>
    <x v="1"/>
    <x v="2"/>
    <x v="0"/>
    <n v="1.6038000000000001"/>
  </r>
  <r>
    <s v="WDM-77521-710"/>
    <x v="327"/>
    <x v="365"/>
    <s v="A-M-0.5"/>
    <n v="2"/>
    <x v="365"/>
    <s v="inorquoyav@businessweek.com"/>
    <x v="0"/>
    <s v="Ara"/>
    <s v="M"/>
    <x v="1"/>
    <n v="6.75"/>
    <n v="13.5"/>
    <x v="2"/>
    <x v="0"/>
    <x v="1"/>
    <n v="1.2149999999999999"/>
  </r>
  <r>
    <s v="EIP-19142-462"/>
    <x v="328"/>
    <x v="366"/>
    <s v="E-L-1"/>
    <n v="6"/>
    <x v="366"/>
    <s v="aiddisonaw@usa.gov"/>
    <x v="0"/>
    <s v="Exc"/>
    <s v="L"/>
    <x v="0"/>
    <n v="14.85"/>
    <n v="89.1"/>
    <x v="1"/>
    <x v="1"/>
    <x v="1"/>
    <n v="9.8010000000000002"/>
  </r>
  <r>
    <s v="EIP-19142-462"/>
    <x v="328"/>
    <x v="366"/>
    <s v="A-L-0.2"/>
    <n v="1"/>
    <x v="366"/>
    <s v="aiddisonaw@usa.gov"/>
    <x v="0"/>
    <s v="Ara"/>
    <s v="L"/>
    <x v="3"/>
    <n v="3.8849999999999998"/>
    <n v="3.8849999999999998"/>
    <x v="2"/>
    <x v="1"/>
    <x v="1"/>
    <n v="0.34964999999999996"/>
  </r>
  <r>
    <s v="ZZL-76364-387"/>
    <x v="128"/>
    <x v="367"/>
    <s v="R-L-2.5"/>
    <n v="4"/>
    <x v="367"/>
    <s v="rlongfielday@bluehost.com"/>
    <x v="0"/>
    <s v="Rob"/>
    <s v="L"/>
    <x v="2"/>
    <n v="27.484999999999996"/>
    <n v="109.93999999999998"/>
    <x v="0"/>
    <x v="1"/>
    <x v="1"/>
    <n v="6.5963999999999992"/>
  </r>
  <r>
    <s v="GMF-18638-786"/>
    <x v="329"/>
    <x v="368"/>
    <s v="L-D-0.5"/>
    <n v="6"/>
    <x v="368"/>
    <s v="gkislingburyaz@samsung.com"/>
    <x v="0"/>
    <s v="Lib"/>
    <s v="D"/>
    <x v="1"/>
    <n v="7.77"/>
    <n v="46.62"/>
    <x v="3"/>
    <x v="2"/>
    <x v="0"/>
    <n v="6.0606"/>
  </r>
  <r>
    <s v="TDJ-20844-787"/>
    <x v="330"/>
    <x v="369"/>
    <s v="A-L-0.5"/>
    <n v="5"/>
    <x v="369"/>
    <s v="xgibbonsb0@artisteer.com"/>
    <x v="0"/>
    <s v="Ara"/>
    <s v="L"/>
    <x v="1"/>
    <n v="7.77"/>
    <n v="38.849999999999994"/>
    <x v="2"/>
    <x v="1"/>
    <x v="1"/>
    <n v="3.4964999999999997"/>
  </r>
  <r>
    <s v="BWK-39400-446"/>
    <x v="331"/>
    <x v="370"/>
    <s v="L-D-0.5"/>
    <n v="4"/>
    <x v="370"/>
    <s v="fparresb1@imageshack.us"/>
    <x v="0"/>
    <s v="Lib"/>
    <s v="D"/>
    <x v="1"/>
    <n v="7.77"/>
    <n v="31.08"/>
    <x v="3"/>
    <x v="2"/>
    <x v="0"/>
    <n v="4.0404"/>
  </r>
  <r>
    <s v="LCB-02099-995"/>
    <x v="332"/>
    <x v="371"/>
    <s v="A-D-0.2"/>
    <n v="6"/>
    <x v="371"/>
    <s v="gsibrayb2@wsj.com"/>
    <x v="0"/>
    <s v="Ara"/>
    <s v="D"/>
    <x v="3"/>
    <n v="2.9849999999999999"/>
    <n v="17.91"/>
    <x v="2"/>
    <x v="2"/>
    <x v="0"/>
    <n v="1.6118999999999999"/>
  </r>
  <r>
    <s v="UBA-43678-174"/>
    <x v="333"/>
    <x v="372"/>
    <s v="E-D-2.5"/>
    <n v="6"/>
    <x v="372"/>
    <s v="ihotchkinb3@mit.edu"/>
    <x v="2"/>
    <s v="Exc"/>
    <s v="D"/>
    <x v="2"/>
    <n v="27.945"/>
    <n v="167.67000000000002"/>
    <x v="1"/>
    <x v="2"/>
    <x v="1"/>
    <n v="18.4437"/>
  </r>
  <r>
    <s v="UDH-24280-432"/>
    <x v="334"/>
    <x v="373"/>
    <s v="L-L-1"/>
    <n v="4"/>
    <x v="373"/>
    <s v="nbroadberrieb4@gnu.org"/>
    <x v="0"/>
    <s v="Lib"/>
    <s v="L"/>
    <x v="0"/>
    <n v="15.85"/>
    <n v="63.4"/>
    <x v="3"/>
    <x v="1"/>
    <x v="1"/>
    <n v="8.2420000000000009"/>
  </r>
  <r>
    <s v="IDQ-20193-502"/>
    <x v="335"/>
    <x v="374"/>
    <s v="L-M-0.2"/>
    <n v="2"/>
    <x v="374"/>
    <s v="rpithcockb5@yellowbook.com"/>
    <x v="0"/>
    <s v="Lib"/>
    <s v="M"/>
    <x v="3"/>
    <n v="4.3650000000000002"/>
    <n v="8.73"/>
    <x v="3"/>
    <x v="0"/>
    <x v="0"/>
    <n v="1.1349"/>
  </r>
  <r>
    <s v="DJG-14442-608"/>
    <x v="336"/>
    <x v="375"/>
    <s v="R-D-1"/>
    <n v="3"/>
    <x v="375"/>
    <s v="gcroysdaleb6@nih.gov"/>
    <x v="0"/>
    <s v="Rob"/>
    <s v="D"/>
    <x v="0"/>
    <n v="8.9499999999999993"/>
    <n v="26.849999999999998"/>
    <x v="0"/>
    <x v="2"/>
    <x v="0"/>
    <n v="1.6109999999999998"/>
  </r>
  <r>
    <s v="DWB-61381-370"/>
    <x v="337"/>
    <x v="376"/>
    <s v="L-L-0.2"/>
    <n v="2"/>
    <x v="376"/>
    <s v="bgozzettb7@github.com"/>
    <x v="0"/>
    <s v="Lib"/>
    <s v="L"/>
    <x v="3"/>
    <n v="4.7549999999999999"/>
    <n v="9.51"/>
    <x v="3"/>
    <x v="1"/>
    <x v="1"/>
    <n v="1.2363"/>
  </r>
  <r>
    <s v="FRD-17347-990"/>
    <x v="80"/>
    <x v="377"/>
    <s v="A-D-1"/>
    <n v="4"/>
    <x v="377"/>
    <s v="tcraggsb8@house.gov"/>
    <x v="1"/>
    <s v="Ara"/>
    <s v="D"/>
    <x v="0"/>
    <n v="9.9499999999999993"/>
    <n v="39.799999999999997"/>
    <x v="2"/>
    <x v="2"/>
    <x v="1"/>
    <n v="3.5819999999999994"/>
  </r>
  <r>
    <s v="YPP-27450-525"/>
    <x v="338"/>
    <x v="378"/>
    <s v="E-M-0.5"/>
    <n v="3"/>
    <x v="378"/>
    <s v="lcullrfordb9@xing.com"/>
    <x v="0"/>
    <s v="Exc"/>
    <s v="M"/>
    <x v="1"/>
    <n v="8.25"/>
    <n v="24.75"/>
    <x v="1"/>
    <x v="0"/>
    <x v="0"/>
    <n v="2.7225000000000001"/>
  </r>
  <r>
    <s v="EFC-39577-424"/>
    <x v="339"/>
    <x v="379"/>
    <s v="E-M-1"/>
    <n v="5"/>
    <x v="379"/>
    <s v="arizonba@xing.com"/>
    <x v="0"/>
    <s v="Exc"/>
    <s v="M"/>
    <x v="0"/>
    <n v="13.75"/>
    <n v="68.75"/>
    <x v="1"/>
    <x v="0"/>
    <x v="0"/>
    <n v="7.5625"/>
  </r>
  <r>
    <s v="LAW-80062-016"/>
    <x v="340"/>
    <x v="380"/>
    <s v="E-M-0.5"/>
    <n v="6"/>
    <x v="380"/>
    <s v=""/>
    <x v="1"/>
    <s v="Exc"/>
    <s v="M"/>
    <x v="1"/>
    <n v="8.25"/>
    <n v="49.5"/>
    <x v="1"/>
    <x v="0"/>
    <x v="1"/>
    <n v="5.4450000000000003"/>
  </r>
  <r>
    <s v="WKL-27981-758"/>
    <x v="177"/>
    <x v="381"/>
    <s v="A-M-2.5"/>
    <n v="2"/>
    <x v="381"/>
    <s v="fmiellbc@spiegel.de"/>
    <x v="0"/>
    <s v="Ara"/>
    <s v="M"/>
    <x v="2"/>
    <n v="25.874999999999996"/>
    <n v="51.749999999999993"/>
    <x v="2"/>
    <x v="0"/>
    <x v="0"/>
    <n v="4.6574999999999989"/>
  </r>
  <r>
    <s v="VRT-39834-265"/>
    <x v="341"/>
    <x v="382"/>
    <s v="L-L-1"/>
    <n v="3"/>
    <x v="382"/>
    <s v=""/>
    <x v="1"/>
    <s v="Lib"/>
    <s v="L"/>
    <x v="0"/>
    <n v="15.85"/>
    <n v="47.55"/>
    <x v="3"/>
    <x v="1"/>
    <x v="0"/>
    <n v="6.1815000000000007"/>
  </r>
  <r>
    <s v="QTC-71005-730"/>
    <x v="342"/>
    <x v="383"/>
    <s v="A-L-0.2"/>
    <n v="4"/>
    <x v="383"/>
    <s v=""/>
    <x v="0"/>
    <s v="Ara"/>
    <s v="L"/>
    <x v="3"/>
    <n v="3.8849999999999998"/>
    <n v="15.54"/>
    <x v="2"/>
    <x v="1"/>
    <x v="1"/>
    <n v="1.3985999999999998"/>
  </r>
  <r>
    <s v="TNX-09857-717"/>
    <x v="343"/>
    <x v="384"/>
    <s v="L-M-1"/>
    <n v="6"/>
    <x v="384"/>
    <s v=""/>
    <x v="0"/>
    <s v="Lib"/>
    <s v="M"/>
    <x v="0"/>
    <n v="14.55"/>
    <n v="87.300000000000011"/>
    <x v="3"/>
    <x v="0"/>
    <x v="0"/>
    <n v="11.349"/>
  </r>
  <r>
    <s v="JZV-43874-185"/>
    <x v="344"/>
    <x v="385"/>
    <s v="A-M-1"/>
    <n v="5"/>
    <x v="385"/>
    <s v=""/>
    <x v="0"/>
    <s v="Ara"/>
    <s v="M"/>
    <x v="0"/>
    <n v="11.25"/>
    <n v="56.25"/>
    <x v="2"/>
    <x v="0"/>
    <x v="0"/>
    <n v="5.0625"/>
  </r>
  <r>
    <s v="ICF-17486-106"/>
    <x v="47"/>
    <x v="386"/>
    <s v="L-L-2.5"/>
    <n v="1"/>
    <x v="386"/>
    <s v="wspringallbh@jugem.jp"/>
    <x v="0"/>
    <s v="Lib"/>
    <s v="L"/>
    <x v="2"/>
    <n v="36.454999999999998"/>
    <n v="36.454999999999998"/>
    <x v="3"/>
    <x v="1"/>
    <x v="0"/>
    <n v="4.7391499999999995"/>
  </r>
  <r>
    <s v="BMK-49520-383"/>
    <x v="345"/>
    <x v="387"/>
    <s v="R-L-0.2"/>
    <n v="3"/>
    <x v="387"/>
    <s v=""/>
    <x v="0"/>
    <s v="Rob"/>
    <s v="L"/>
    <x v="3"/>
    <n v="3.5849999999999995"/>
    <n v="10.754999999999999"/>
    <x v="0"/>
    <x v="1"/>
    <x v="0"/>
    <n v="0.64529999999999987"/>
  </r>
  <r>
    <s v="HTS-15020-632"/>
    <x v="169"/>
    <x v="388"/>
    <s v="R-M-0.2"/>
    <n v="3"/>
    <x v="388"/>
    <s v="ghawkyensbj@census.gov"/>
    <x v="0"/>
    <s v="Rob"/>
    <s v="M"/>
    <x v="3"/>
    <n v="2.9849999999999999"/>
    <n v="8.9550000000000001"/>
    <x v="0"/>
    <x v="0"/>
    <x v="1"/>
    <n v="0.53729999999999989"/>
  </r>
  <r>
    <s v="YLE-18247-749"/>
    <x v="346"/>
    <x v="389"/>
    <s v="A-L-0.5"/>
    <n v="3"/>
    <x v="389"/>
    <s v=""/>
    <x v="0"/>
    <s v="Ara"/>
    <s v="L"/>
    <x v="1"/>
    <n v="7.77"/>
    <n v="23.31"/>
    <x v="2"/>
    <x v="1"/>
    <x v="0"/>
    <n v="2.0978999999999997"/>
  </r>
  <r>
    <s v="KJJ-12573-591"/>
    <x v="347"/>
    <x v="390"/>
    <s v="A-L-2.5"/>
    <n v="1"/>
    <x v="390"/>
    <s v=""/>
    <x v="0"/>
    <s v="Ara"/>
    <s v="L"/>
    <x v="2"/>
    <n v="29.784999999999997"/>
    <n v="29.784999999999997"/>
    <x v="2"/>
    <x v="1"/>
    <x v="0"/>
    <n v="2.6806499999999995"/>
  </r>
  <r>
    <s v="RGU-43561-950"/>
    <x v="348"/>
    <x v="391"/>
    <s v="A-L-2.5"/>
    <n v="5"/>
    <x v="391"/>
    <s v="bmcgilvrabm@so-net.ne.jp"/>
    <x v="0"/>
    <s v="Ara"/>
    <s v="L"/>
    <x v="2"/>
    <n v="29.784999999999997"/>
    <n v="148.92499999999998"/>
    <x v="2"/>
    <x v="1"/>
    <x v="0"/>
    <n v="13.403249999999998"/>
  </r>
  <r>
    <s v="JSN-73975-443"/>
    <x v="349"/>
    <x v="392"/>
    <s v="L-M-0.5"/>
    <n v="1"/>
    <x v="392"/>
    <s v="adanzeybn@github.com"/>
    <x v="0"/>
    <s v="Lib"/>
    <s v="M"/>
    <x v="1"/>
    <n v="8.73"/>
    <n v="8.73"/>
    <x v="3"/>
    <x v="0"/>
    <x v="0"/>
    <n v="1.1349"/>
  </r>
  <r>
    <s v="WNR-71736-993"/>
    <x v="350"/>
    <x v="347"/>
    <s v="L-D-0.5"/>
    <n v="4"/>
    <x v="347"/>
    <s v="tfarraac@behance.net"/>
    <x v="0"/>
    <s v="Lib"/>
    <s v="D"/>
    <x v="1"/>
    <n v="7.77"/>
    <n v="31.08"/>
    <x v="3"/>
    <x v="2"/>
    <x v="1"/>
    <n v="4.0404"/>
  </r>
  <r>
    <s v="WNR-71736-993"/>
    <x v="350"/>
    <x v="347"/>
    <s v="A-D-2.5"/>
    <n v="6"/>
    <x v="347"/>
    <s v="tfarraac@behance.net"/>
    <x v="0"/>
    <s v="Ara"/>
    <s v="D"/>
    <x v="2"/>
    <n v="22.884999999999998"/>
    <n v="137.31"/>
    <x v="2"/>
    <x v="2"/>
    <x v="1"/>
    <n v="12.357899999999997"/>
  </r>
  <r>
    <s v="HNI-91338-546"/>
    <x v="54"/>
    <x v="393"/>
    <s v="A-D-0.5"/>
    <n v="5"/>
    <x v="393"/>
    <s v=""/>
    <x v="0"/>
    <s v="Ara"/>
    <s v="D"/>
    <x v="1"/>
    <n v="5.97"/>
    <n v="29.849999999999998"/>
    <x v="2"/>
    <x v="2"/>
    <x v="1"/>
    <n v="2.6865000000000001"/>
  </r>
  <r>
    <s v="CYH-53243-218"/>
    <x v="237"/>
    <x v="394"/>
    <s v="R-M-0.5"/>
    <n v="3"/>
    <x v="394"/>
    <s v=""/>
    <x v="0"/>
    <s v="Rob"/>
    <s v="M"/>
    <x v="1"/>
    <n v="5.97"/>
    <n v="17.91"/>
    <x v="0"/>
    <x v="0"/>
    <x v="1"/>
    <n v="1.0745999999999998"/>
  </r>
  <r>
    <s v="SVD-75407-177"/>
    <x v="351"/>
    <x v="395"/>
    <s v="E-L-0.5"/>
    <n v="3"/>
    <x v="395"/>
    <s v="ydombrellbs@dedecms.com"/>
    <x v="0"/>
    <s v="Exc"/>
    <s v="L"/>
    <x v="1"/>
    <n v="8.91"/>
    <n v="26.73"/>
    <x v="1"/>
    <x v="1"/>
    <x v="0"/>
    <n v="2.9402999999999997"/>
  </r>
  <r>
    <s v="NVN-66443-451"/>
    <x v="352"/>
    <x v="396"/>
    <s v="R-D-1"/>
    <n v="2"/>
    <x v="396"/>
    <s v="adarthbt@t.co"/>
    <x v="0"/>
    <s v="Rob"/>
    <s v="D"/>
    <x v="0"/>
    <n v="8.9499999999999993"/>
    <n v="17.899999999999999"/>
    <x v="0"/>
    <x v="2"/>
    <x v="1"/>
    <n v="1.0739999999999998"/>
  </r>
  <r>
    <s v="JUA-13580-095"/>
    <x v="102"/>
    <x v="397"/>
    <s v="R-L-0.2"/>
    <n v="4"/>
    <x v="397"/>
    <s v="mdarrigoebu@hud.gov"/>
    <x v="1"/>
    <s v="Rob"/>
    <s v="L"/>
    <x v="3"/>
    <n v="3.5849999999999995"/>
    <n v="14.339999999999998"/>
    <x v="0"/>
    <x v="1"/>
    <x v="0"/>
    <n v="0.86039999999999983"/>
  </r>
  <r>
    <s v="ACY-56225-839"/>
    <x v="353"/>
    <x v="398"/>
    <s v="A-M-2.5"/>
    <n v="3"/>
    <x v="398"/>
    <s v=""/>
    <x v="0"/>
    <s v="Ara"/>
    <s v="M"/>
    <x v="2"/>
    <n v="25.874999999999996"/>
    <n v="77.624999999999986"/>
    <x v="2"/>
    <x v="0"/>
    <x v="0"/>
    <n v="6.9862499999999983"/>
  </r>
  <r>
    <s v="QBB-07903-622"/>
    <x v="354"/>
    <x v="399"/>
    <s v="R-L-1"/>
    <n v="5"/>
    <x v="399"/>
    <s v="mackrillbw@bandcamp.com"/>
    <x v="0"/>
    <s v="Rob"/>
    <s v="L"/>
    <x v="0"/>
    <n v="11.95"/>
    <n v="59.75"/>
    <x v="0"/>
    <x v="1"/>
    <x v="1"/>
    <n v="3.585"/>
  </r>
  <r>
    <s v="JLJ-81802-619"/>
    <x v="135"/>
    <x v="347"/>
    <s v="A-L-1"/>
    <n v="6"/>
    <x v="347"/>
    <s v="tfarraac@behance.net"/>
    <x v="0"/>
    <s v="Ara"/>
    <s v="L"/>
    <x v="0"/>
    <n v="12.95"/>
    <n v="77.699999999999989"/>
    <x v="2"/>
    <x v="1"/>
    <x v="1"/>
    <n v="6.9930000000000003"/>
  </r>
  <r>
    <s v="HFT-77191-168"/>
    <x v="343"/>
    <x v="400"/>
    <s v="R-D-0.2"/>
    <n v="2"/>
    <x v="400"/>
    <s v="mkippenby@dion.ne.jp"/>
    <x v="0"/>
    <s v="Rob"/>
    <s v="D"/>
    <x v="3"/>
    <n v="2.6849999999999996"/>
    <n v="5.3699999999999992"/>
    <x v="0"/>
    <x v="2"/>
    <x v="0"/>
    <n v="0.32219999999999993"/>
  </r>
  <r>
    <s v="SZR-35951-530"/>
    <x v="89"/>
    <x v="401"/>
    <s v="E-D-2.5"/>
    <n v="3"/>
    <x v="401"/>
    <s v="wransonbz@ted.com"/>
    <x v="1"/>
    <s v="Exc"/>
    <s v="D"/>
    <x v="2"/>
    <n v="27.945"/>
    <n v="83.835000000000008"/>
    <x v="1"/>
    <x v="2"/>
    <x v="0"/>
    <n v="9.2218499999999999"/>
  </r>
  <r>
    <s v="IKL-95976-565"/>
    <x v="355"/>
    <x v="402"/>
    <s v="A-M-1"/>
    <n v="2"/>
    <x v="402"/>
    <s v=""/>
    <x v="0"/>
    <s v="Ara"/>
    <s v="M"/>
    <x v="0"/>
    <n v="11.25"/>
    <n v="22.5"/>
    <x v="2"/>
    <x v="0"/>
    <x v="1"/>
    <n v="2.0249999999999999"/>
  </r>
  <r>
    <s v="XEY-48929-474"/>
    <x v="204"/>
    <x v="403"/>
    <s v="L-M-2.5"/>
    <n v="6"/>
    <x v="403"/>
    <s v="lrignoldc1@miibeian.gov.cn"/>
    <x v="0"/>
    <s v="Lib"/>
    <s v="M"/>
    <x v="2"/>
    <n v="33.464999999999996"/>
    <n v="200.78999999999996"/>
    <x v="3"/>
    <x v="0"/>
    <x v="0"/>
    <n v="26.102699999999999"/>
  </r>
  <r>
    <s v="SQT-07286-736"/>
    <x v="356"/>
    <x v="404"/>
    <s v="A-M-1"/>
    <n v="6"/>
    <x v="404"/>
    <s v=""/>
    <x v="0"/>
    <s v="Ara"/>
    <s v="M"/>
    <x v="0"/>
    <n v="11.25"/>
    <n v="67.5"/>
    <x v="2"/>
    <x v="0"/>
    <x v="1"/>
    <n v="6.0749999999999993"/>
  </r>
  <r>
    <s v="QDU-45390-361"/>
    <x v="357"/>
    <x v="405"/>
    <s v="E-M-0.5"/>
    <n v="1"/>
    <x v="405"/>
    <s v="crowthornc3@msn.com"/>
    <x v="0"/>
    <s v="Exc"/>
    <s v="M"/>
    <x v="1"/>
    <n v="8.25"/>
    <n v="8.25"/>
    <x v="1"/>
    <x v="0"/>
    <x v="1"/>
    <n v="0.90749999999999997"/>
  </r>
  <r>
    <s v="RUJ-30649-712"/>
    <x v="300"/>
    <x v="406"/>
    <s v="L-L-0.2"/>
    <n v="2"/>
    <x v="406"/>
    <s v="orylandc4@deviantart.com"/>
    <x v="0"/>
    <s v="Lib"/>
    <s v="L"/>
    <x v="3"/>
    <n v="4.7549999999999999"/>
    <n v="9.51"/>
    <x v="3"/>
    <x v="1"/>
    <x v="0"/>
    <n v="1.2363"/>
  </r>
  <r>
    <s v="WSV-49732-075"/>
    <x v="358"/>
    <x v="407"/>
    <s v="L-D-2.5"/>
    <n v="1"/>
    <x v="407"/>
    <s v=""/>
    <x v="0"/>
    <s v="Lib"/>
    <s v="D"/>
    <x v="2"/>
    <n v="29.784999999999997"/>
    <n v="29.784999999999997"/>
    <x v="3"/>
    <x v="2"/>
    <x v="1"/>
    <n v="3.8720499999999998"/>
  </r>
  <r>
    <s v="VJF-46305-323"/>
    <x v="161"/>
    <x v="408"/>
    <s v="L-D-0.5"/>
    <n v="2"/>
    <x v="408"/>
    <s v="msesonck@census.gov"/>
    <x v="0"/>
    <s v="Lib"/>
    <s v="D"/>
    <x v="1"/>
    <n v="7.77"/>
    <n v="15.54"/>
    <x v="3"/>
    <x v="2"/>
    <x v="1"/>
    <n v="2.0202"/>
  </r>
  <r>
    <s v="CXD-74176-600"/>
    <x v="129"/>
    <x v="409"/>
    <s v="E-L-0.5"/>
    <n v="4"/>
    <x v="409"/>
    <s v="craglessc7@webmd.com"/>
    <x v="1"/>
    <s v="Exc"/>
    <s v="L"/>
    <x v="1"/>
    <n v="8.91"/>
    <n v="35.64"/>
    <x v="1"/>
    <x v="1"/>
    <x v="1"/>
    <n v="3.9203999999999999"/>
  </r>
  <r>
    <s v="ADX-50674-975"/>
    <x v="359"/>
    <x v="410"/>
    <s v="A-M-2.5"/>
    <n v="4"/>
    <x v="410"/>
    <s v="fhollowsc8@blogtalkradio.com"/>
    <x v="0"/>
    <s v="Ara"/>
    <s v="M"/>
    <x v="2"/>
    <n v="25.874999999999996"/>
    <n v="103.49999999999999"/>
    <x v="2"/>
    <x v="0"/>
    <x v="0"/>
    <n v="9.3149999999999977"/>
  </r>
  <r>
    <s v="RRP-51647-420"/>
    <x v="360"/>
    <x v="411"/>
    <s v="E-D-1"/>
    <n v="3"/>
    <x v="411"/>
    <s v="llathleiffc9@nationalgeographic.com"/>
    <x v="1"/>
    <s v="Exc"/>
    <s v="D"/>
    <x v="0"/>
    <n v="12.15"/>
    <n v="36.450000000000003"/>
    <x v="1"/>
    <x v="2"/>
    <x v="0"/>
    <n v="4.0095000000000001"/>
  </r>
  <r>
    <s v="PKJ-99134-523"/>
    <x v="361"/>
    <x v="412"/>
    <s v="R-L-0.5"/>
    <n v="5"/>
    <x v="412"/>
    <s v="kheadsca@jalbum.net"/>
    <x v="0"/>
    <s v="Rob"/>
    <s v="L"/>
    <x v="1"/>
    <n v="7.169999999999999"/>
    <n v="35.849999999999994"/>
    <x v="0"/>
    <x v="1"/>
    <x v="1"/>
    <n v="2.1509999999999998"/>
  </r>
  <r>
    <s v="FZQ-29439-457"/>
    <x v="362"/>
    <x v="413"/>
    <s v="E-L-0.2"/>
    <n v="5"/>
    <x v="413"/>
    <s v="tbownecb@unicef.org"/>
    <x v="1"/>
    <s v="Exc"/>
    <s v="L"/>
    <x v="3"/>
    <n v="4.4550000000000001"/>
    <n v="22.274999999999999"/>
    <x v="1"/>
    <x v="1"/>
    <x v="0"/>
    <n v="2.45025"/>
  </r>
  <r>
    <s v="USN-68115-161"/>
    <x v="363"/>
    <x v="414"/>
    <s v="E-M-0.2"/>
    <n v="6"/>
    <x v="414"/>
    <s v="rjacquemardcc@acquirethisname.com"/>
    <x v="1"/>
    <s v="Exc"/>
    <s v="M"/>
    <x v="3"/>
    <n v="4.125"/>
    <n v="24.75"/>
    <x v="1"/>
    <x v="0"/>
    <x v="1"/>
    <n v="2.7225000000000001"/>
  </r>
  <r>
    <s v="IXU-20263-532"/>
    <x v="364"/>
    <x v="415"/>
    <s v="L-M-2.5"/>
    <n v="2"/>
    <x v="415"/>
    <s v="kwarmancd@printfriendly.com"/>
    <x v="1"/>
    <s v="Lib"/>
    <s v="M"/>
    <x v="2"/>
    <n v="33.464999999999996"/>
    <n v="66.929999999999993"/>
    <x v="3"/>
    <x v="0"/>
    <x v="0"/>
    <n v="8.700899999999999"/>
  </r>
  <r>
    <s v="CBT-15092-420"/>
    <x v="85"/>
    <x v="416"/>
    <s v="L-M-0.5"/>
    <n v="1"/>
    <x v="416"/>
    <s v="wcholomince@about.com"/>
    <x v="2"/>
    <s v="Lib"/>
    <s v="M"/>
    <x v="1"/>
    <n v="8.73"/>
    <n v="8.73"/>
    <x v="3"/>
    <x v="0"/>
    <x v="0"/>
    <n v="1.1349"/>
  </r>
  <r>
    <s v="PKQ-46841-696"/>
    <x v="365"/>
    <x v="417"/>
    <s v="R-M-0.5"/>
    <n v="3"/>
    <x v="417"/>
    <s v="abraidmancf@census.gov"/>
    <x v="0"/>
    <s v="Rob"/>
    <s v="M"/>
    <x v="1"/>
    <n v="5.97"/>
    <n v="17.91"/>
    <x v="0"/>
    <x v="0"/>
    <x v="1"/>
    <n v="1.0745999999999998"/>
  </r>
  <r>
    <s v="XDU-05471-219"/>
    <x v="366"/>
    <x v="418"/>
    <s v="R-L-0.5"/>
    <n v="1"/>
    <x v="418"/>
    <s v="pdurbancg@symantec.com"/>
    <x v="1"/>
    <s v="Rob"/>
    <s v="L"/>
    <x v="1"/>
    <n v="7.169999999999999"/>
    <n v="7.169999999999999"/>
    <x v="0"/>
    <x v="1"/>
    <x v="1"/>
    <n v="0.43019999999999992"/>
  </r>
  <r>
    <s v="NID-20149-329"/>
    <x v="367"/>
    <x v="419"/>
    <s v="R-D-0.2"/>
    <n v="2"/>
    <x v="419"/>
    <s v="aharroldch@miibeian.gov.cn"/>
    <x v="0"/>
    <s v="Rob"/>
    <s v="D"/>
    <x v="3"/>
    <n v="2.6849999999999996"/>
    <n v="5.3699999999999992"/>
    <x v="0"/>
    <x v="2"/>
    <x v="1"/>
    <n v="0.32219999999999993"/>
  </r>
  <r>
    <s v="SVU-27222-213"/>
    <x v="142"/>
    <x v="420"/>
    <s v="L-L-0.2"/>
    <n v="5"/>
    <x v="420"/>
    <s v="spamphilonci@mlb.com"/>
    <x v="1"/>
    <s v="Lib"/>
    <s v="L"/>
    <x v="3"/>
    <n v="4.7549999999999999"/>
    <n v="23.774999999999999"/>
    <x v="3"/>
    <x v="1"/>
    <x v="1"/>
    <n v="3.0907499999999999"/>
  </r>
  <r>
    <s v="RWI-84131-848"/>
    <x v="368"/>
    <x v="421"/>
    <s v="R-D-2.5"/>
    <n v="2"/>
    <x v="421"/>
    <s v="mspurdencj@exblog.jp"/>
    <x v="0"/>
    <s v="Rob"/>
    <s v="D"/>
    <x v="2"/>
    <n v="20.584999999999997"/>
    <n v="41.169999999999995"/>
    <x v="0"/>
    <x v="2"/>
    <x v="0"/>
    <n v="2.4701999999999997"/>
  </r>
  <r>
    <s v="GUU-40666-525"/>
    <x v="31"/>
    <x v="408"/>
    <s v="A-L-0.2"/>
    <n v="3"/>
    <x v="408"/>
    <s v="msesonck@census.gov"/>
    <x v="0"/>
    <s v="Ara"/>
    <s v="L"/>
    <x v="3"/>
    <n v="3.8849999999999998"/>
    <n v="11.654999999999999"/>
    <x v="2"/>
    <x v="1"/>
    <x v="1"/>
    <n v="1.0489499999999998"/>
  </r>
  <r>
    <s v="SCN-51395-066"/>
    <x v="369"/>
    <x v="422"/>
    <s v="L-L-0.5"/>
    <n v="4"/>
    <x v="422"/>
    <s v="npirronecl@weibo.com"/>
    <x v="0"/>
    <s v="Lib"/>
    <s v="L"/>
    <x v="1"/>
    <n v="9.51"/>
    <n v="38.04"/>
    <x v="3"/>
    <x v="1"/>
    <x v="1"/>
    <n v="4.9451999999999998"/>
  </r>
  <r>
    <s v="ULA-24644-321"/>
    <x v="370"/>
    <x v="423"/>
    <s v="R-D-2.5"/>
    <n v="4"/>
    <x v="423"/>
    <s v="rcawleycm@yellowbook.com"/>
    <x v="1"/>
    <s v="Rob"/>
    <s v="D"/>
    <x v="2"/>
    <n v="20.584999999999997"/>
    <n v="82.339999999999989"/>
    <x v="0"/>
    <x v="2"/>
    <x v="0"/>
    <n v="4.9403999999999995"/>
  </r>
  <r>
    <s v="EOL-92666-762"/>
    <x v="371"/>
    <x v="424"/>
    <s v="L-L-0.2"/>
    <n v="2"/>
    <x v="424"/>
    <s v="sbarribalcn@microsoft.com"/>
    <x v="1"/>
    <s v="Lib"/>
    <s v="L"/>
    <x v="3"/>
    <n v="4.7549999999999999"/>
    <n v="9.51"/>
    <x v="3"/>
    <x v="1"/>
    <x v="0"/>
    <n v="1.2363"/>
  </r>
  <r>
    <s v="AJV-18231-334"/>
    <x v="372"/>
    <x v="425"/>
    <s v="R-D-2.5"/>
    <n v="2"/>
    <x v="425"/>
    <s v="aadamidesco@bizjournals.com"/>
    <x v="2"/>
    <s v="Rob"/>
    <s v="D"/>
    <x v="2"/>
    <n v="20.584999999999997"/>
    <n v="41.169999999999995"/>
    <x v="0"/>
    <x v="2"/>
    <x v="1"/>
    <n v="2.4701999999999997"/>
  </r>
  <r>
    <s v="ZQI-47236-301"/>
    <x v="373"/>
    <x v="426"/>
    <s v="L-L-0.5"/>
    <n v="5"/>
    <x v="426"/>
    <s v="cthowescp@craigslist.org"/>
    <x v="0"/>
    <s v="Lib"/>
    <s v="L"/>
    <x v="1"/>
    <n v="9.51"/>
    <n v="47.55"/>
    <x v="3"/>
    <x v="1"/>
    <x v="1"/>
    <n v="6.1814999999999998"/>
  </r>
  <r>
    <s v="ZCR-15721-658"/>
    <x v="374"/>
    <x v="427"/>
    <s v="A-M-1"/>
    <n v="4"/>
    <x v="427"/>
    <s v="rwillowaycq@admin.ch"/>
    <x v="0"/>
    <s v="Ara"/>
    <s v="M"/>
    <x v="0"/>
    <n v="11.25"/>
    <n v="45"/>
    <x v="2"/>
    <x v="0"/>
    <x v="1"/>
    <n v="4.05"/>
  </r>
  <r>
    <s v="QEW-47945-682"/>
    <x v="319"/>
    <x v="428"/>
    <s v="L-L-0.2"/>
    <n v="5"/>
    <x v="428"/>
    <s v="aelwincr@privacy.gov.au"/>
    <x v="0"/>
    <s v="Lib"/>
    <s v="L"/>
    <x v="3"/>
    <n v="4.7549999999999999"/>
    <n v="23.774999999999999"/>
    <x v="3"/>
    <x v="1"/>
    <x v="1"/>
    <n v="3.0907499999999999"/>
  </r>
  <r>
    <s v="PSY-45485-542"/>
    <x v="375"/>
    <x v="429"/>
    <s v="R-D-0.5"/>
    <n v="3"/>
    <x v="429"/>
    <s v="abilbrookcs@booking.com"/>
    <x v="1"/>
    <s v="Rob"/>
    <s v="D"/>
    <x v="1"/>
    <n v="5.3699999999999992"/>
    <n v="16.11"/>
    <x v="0"/>
    <x v="2"/>
    <x v="0"/>
    <n v="0.96659999999999979"/>
  </r>
  <r>
    <s v="BAQ-74241-156"/>
    <x v="376"/>
    <x v="430"/>
    <s v="R-D-0.2"/>
    <n v="4"/>
    <x v="430"/>
    <s v="rmckallct@sakura.ne.jp"/>
    <x v="2"/>
    <s v="Rob"/>
    <s v="D"/>
    <x v="3"/>
    <n v="2.6849999999999996"/>
    <n v="10.739999999999998"/>
    <x v="0"/>
    <x v="2"/>
    <x v="0"/>
    <n v="0.64439999999999986"/>
  </r>
  <r>
    <s v="BVU-77367-451"/>
    <x v="377"/>
    <x v="431"/>
    <s v="A-D-1"/>
    <n v="5"/>
    <x v="431"/>
    <s v="bdailecu@vistaprint.com"/>
    <x v="0"/>
    <s v="Ara"/>
    <s v="D"/>
    <x v="0"/>
    <n v="9.9499999999999993"/>
    <n v="49.75"/>
    <x v="2"/>
    <x v="2"/>
    <x v="0"/>
    <n v="4.4774999999999991"/>
  </r>
  <r>
    <s v="TJE-91516-344"/>
    <x v="378"/>
    <x v="432"/>
    <s v="E-M-1"/>
    <n v="2"/>
    <x v="432"/>
    <s v="atrehernecv@state.tx.us"/>
    <x v="1"/>
    <s v="Exc"/>
    <s v="M"/>
    <x v="0"/>
    <n v="13.75"/>
    <n v="27.5"/>
    <x v="1"/>
    <x v="0"/>
    <x v="1"/>
    <n v="3.0249999999999999"/>
  </r>
  <r>
    <s v="LIS-96202-702"/>
    <x v="277"/>
    <x v="433"/>
    <s v="L-D-2.5"/>
    <n v="4"/>
    <x v="433"/>
    <s v="abrentnallcw@biglobe.ne.jp"/>
    <x v="2"/>
    <s v="Lib"/>
    <s v="D"/>
    <x v="2"/>
    <n v="29.784999999999997"/>
    <n v="119.13999999999999"/>
    <x v="3"/>
    <x v="2"/>
    <x v="1"/>
    <n v="15.488199999999999"/>
  </r>
  <r>
    <s v="VIO-27668-766"/>
    <x v="379"/>
    <x v="434"/>
    <s v="R-D-2.5"/>
    <n v="1"/>
    <x v="434"/>
    <s v="ddrinkallcx@psu.edu"/>
    <x v="0"/>
    <s v="Rob"/>
    <s v="D"/>
    <x v="2"/>
    <n v="20.584999999999997"/>
    <n v="20.584999999999997"/>
    <x v="0"/>
    <x v="2"/>
    <x v="0"/>
    <n v="1.2350999999999999"/>
  </r>
  <r>
    <s v="ZVG-20473-043"/>
    <x v="86"/>
    <x v="435"/>
    <s v="A-D-0.2"/>
    <n v="3"/>
    <x v="435"/>
    <s v="dkornelcy@cyberchimps.com"/>
    <x v="0"/>
    <s v="Ara"/>
    <s v="D"/>
    <x v="3"/>
    <n v="2.9849999999999999"/>
    <n v="8.9550000000000001"/>
    <x v="2"/>
    <x v="2"/>
    <x v="0"/>
    <n v="0.80594999999999994"/>
  </r>
  <r>
    <s v="KGZ-56395-231"/>
    <x v="380"/>
    <x v="436"/>
    <s v="A-D-0.5"/>
    <n v="1"/>
    <x v="436"/>
    <s v="rlequeuxcz@newyorker.com"/>
    <x v="0"/>
    <s v="Ara"/>
    <s v="D"/>
    <x v="1"/>
    <n v="5.97"/>
    <n v="5.97"/>
    <x v="2"/>
    <x v="2"/>
    <x v="1"/>
    <n v="0.5373"/>
  </r>
  <r>
    <s v="CUU-92244-729"/>
    <x v="381"/>
    <x v="437"/>
    <s v="E-M-1"/>
    <n v="3"/>
    <x v="437"/>
    <s v="jmccaulld0@parallels.com"/>
    <x v="0"/>
    <s v="Exc"/>
    <s v="M"/>
    <x v="0"/>
    <n v="13.75"/>
    <n v="41.25"/>
    <x v="1"/>
    <x v="0"/>
    <x v="0"/>
    <n v="4.5374999999999996"/>
  </r>
  <r>
    <s v="EHE-94714-312"/>
    <x v="382"/>
    <x v="438"/>
    <s v="E-L-0.2"/>
    <n v="5"/>
    <x v="438"/>
    <s v="abrashda@plala.or.jp"/>
    <x v="0"/>
    <s v="Exc"/>
    <s v="L"/>
    <x v="3"/>
    <n v="4.4550000000000001"/>
    <n v="22.274999999999999"/>
    <x v="1"/>
    <x v="1"/>
    <x v="0"/>
    <n v="2.45025"/>
  </r>
  <r>
    <s v="RTL-16205-161"/>
    <x v="11"/>
    <x v="439"/>
    <s v="A-M-0.5"/>
    <n v="1"/>
    <x v="439"/>
    <s v="ahutchinsond2@imgur.com"/>
    <x v="0"/>
    <s v="Ara"/>
    <s v="M"/>
    <x v="1"/>
    <n v="6.75"/>
    <n v="6.75"/>
    <x v="2"/>
    <x v="0"/>
    <x v="0"/>
    <n v="0.60749999999999993"/>
  </r>
  <r>
    <s v="GTS-22482-014"/>
    <x v="167"/>
    <x v="440"/>
    <s v="L-M-2.5"/>
    <n v="4"/>
    <x v="440"/>
    <s v=""/>
    <x v="0"/>
    <s v="Lib"/>
    <s v="M"/>
    <x v="2"/>
    <n v="33.464999999999996"/>
    <n v="133.85999999999999"/>
    <x v="3"/>
    <x v="0"/>
    <x v="0"/>
    <n v="17.401799999999998"/>
  </r>
  <r>
    <s v="DYG-25473-881"/>
    <x v="383"/>
    <x v="441"/>
    <s v="A-D-0.2"/>
    <n v="2"/>
    <x v="441"/>
    <s v="rdriversd4@hexun.com"/>
    <x v="0"/>
    <s v="Ara"/>
    <s v="D"/>
    <x v="3"/>
    <n v="2.9849999999999999"/>
    <n v="5.97"/>
    <x v="2"/>
    <x v="2"/>
    <x v="1"/>
    <n v="0.5373"/>
  </r>
  <r>
    <s v="HTR-21838-286"/>
    <x v="18"/>
    <x v="442"/>
    <s v="A-L-1"/>
    <n v="2"/>
    <x v="442"/>
    <s v="hzeald5@google.de"/>
    <x v="0"/>
    <s v="Ara"/>
    <s v="L"/>
    <x v="0"/>
    <n v="12.95"/>
    <n v="25.9"/>
    <x v="2"/>
    <x v="1"/>
    <x v="1"/>
    <n v="2.331"/>
  </r>
  <r>
    <s v="KYG-28296-920"/>
    <x v="84"/>
    <x v="443"/>
    <s v="E-M-2.5"/>
    <n v="1"/>
    <x v="443"/>
    <s v="gsmallcombed6@ucla.edu"/>
    <x v="1"/>
    <s v="Exc"/>
    <s v="M"/>
    <x v="2"/>
    <n v="31.624999999999996"/>
    <n v="31.624999999999996"/>
    <x v="1"/>
    <x v="0"/>
    <x v="0"/>
    <n v="3.4787499999999998"/>
  </r>
  <r>
    <s v="NNB-20459-430"/>
    <x v="384"/>
    <x v="444"/>
    <s v="L-M-0.2"/>
    <n v="2"/>
    <x v="444"/>
    <s v="ddibleyd7@feedburner.com"/>
    <x v="0"/>
    <s v="Lib"/>
    <s v="M"/>
    <x v="3"/>
    <n v="4.3650000000000002"/>
    <n v="8.73"/>
    <x v="3"/>
    <x v="0"/>
    <x v="1"/>
    <n v="1.1349"/>
  </r>
  <r>
    <s v="FEK-14025-351"/>
    <x v="385"/>
    <x v="445"/>
    <s v="E-L-0.2"/>
    <n v="6"/>
    <x v="445"/>
    <s v="gdimitrioud8@chronoengine.com"/>
    <x v="0"/>
    <s v="Exc"/>
    <s v="L"/>
    <x v="3"/>
    <n v="4.4550000000000001"/>
    <n v="26.73"/>
    <x v="1"/>
    <x v="1"/>
    <x v="0"/>
    <n v="2.9402999999999997"/>
  </r>
  <r>
    <s v="AWH-16980-469"/>
    <x v="386"/>
    <x v="446"/>
    <s v="L-M-0.2"/>
    <n v="6"/>
    <x v="446"/>
    <s v="fflanagand9@woothemes.com"/>
    <x v="0"/>
    <s v="Lib"/>
    <s v="M"/>
    <x v="3"/>
    <n v="4.3650000000000002"/>
    <n v="26.19"/>
    <x v="3"/>
    <x v="0"/>
    <x v="1"/>
    <n v="3.4047000000000001"/>
  </r>
  <r>
    <s v="ZPW-31329-741"/>
    <x v="387"/>
    <x v="438"/>
    <s v="R-D-1"/>
    <n v="6"/>
    <x v="438"/>
    <s v="abrashda@plala.or.jp"/>
    <x v="0"/>
    <s v="Rob"/>
    <s v="D"/>
    <x v="0"/>
    <n v="8.9499999999999993"/>
    <n v="53.699999999999996"/>
    <x v="0"/>
    <x v="2"/>
    <x v="0"/>
    <n v="3.2219999999999995"/>
  </r>
  <r>
    <s v="ZPW-31329-741"/>
    <x v="387"/>
    <x v="438"/>
    <s v="E-M-2.5"/>
    <n v="4"/>
    <x v="438"/>
    <s v="abrashda@plala.or.jp"/>
    <x v="0"/>
    <s v="Exc"/>
    <s v="M"/>
    <x v="2"/>
    <n v="31.624999999999996"/>
    <n v="126.49999999999999"/>
    <x v="1"/>
    <x v="0"/>
    <x v="0"/>
    <n v="13.914999999999999"/>
  </r>
  <r>
    <s v="ZPW-31329-741"/>
    <x v="387"/>
    <x v="438"/>
    <s v="E-M-0.2"/>
    <n v="1"/>
    <x v="438"/>
    <s v="abrashda@plala.or.jp"/>
    <x v="0"/>
    <s v="Exc"/>
    <s v="M"/>
    <x v="3"/>
    <n v="4.125"/>
    <n v="4.125"/>
    <x v="1"/>
    <x v="0"/>
    <x v="0"/>
    <n v="0.45374999999999999"/>
  </r>
  <r>
    <s v="UBI-83843-396"/>
    <x v="388"/>
    <x v="447"/>
    <s v="R-L-1"/>
    <n v="2"/>
    <x v="447"/>
    <s v="nizhakovdd@aol.com"/>
    <x v="2"/>
    <s v="Rob"/>
    <s v="L"/>
    <x v="0"/>
    <n v="11.95"/>
    <n v="23.9"/>
    <x v="0"/>
    <x v="1"/>
    <x v="1"/>
    <n v="1.4339999999999999"/>
  </r>
  <r>
    <s v="VID-40587-569"/>
    <x v="389"/>
    <x v="448"/>
    <s v="E-D-2.5"/>
    <n v="5"/>
    <x v="448"/>
    <s v="skeetsde@answers.com"/>
    <x v="0"/>
    <s v="Exc"/>
    <s v="D"/>
    <x v="2"/>
    <n v="27.945"/>
    <n v="139.72499999999999"/>
    <x v="1"/>
    <x v="2"/>
    <x v="0"/>
    <n v="15.36975"/>
  </r>
  <r>
    <s v="KBB-52530-416"/>
    <x v="229"/>
    <x v="449"/>
    <s v="L-D-2.5"/>
    <n v="2"/>
    <x v="449"/>
    <s v=""/>
    <x v="0"/>
    <s v="Lib"/>
    <s v="D"/>
    <x v="2"/>
    <n v="29.784999999999997"/>
    <n v="59.569999999999993"/>
    <x v="3"/>
    <x v="2"/>
    <x v="0"/>
    <n v="7.7440999999999995"/>
  </r>
  <r>
    <s v="ISJ-48676-420"/>
    <x v="390"/>
    <x v="450"/>
    <s v="L-L-0.5"/>
    <n v="6"/>
    <x v="450"/>
    <s v="kcakedg@huffingtonpost.com"/>
    <x v="0"/>
    <s v="Lib"/>
    <s v="L"/>
    <x v="1"/>
    <n v="9.51"/>
    <n v="57.06"/>
    <x v="3"/>
    <x v="1"/>
    <x v="1"/>
    <n v="7.4177999999999997"/>
  </r>
  <r>
    <s v="MIF-17920-768"/>
    <x v="391"/>
    <x v="451"/>
    <s v="R-L-0.2"/>
    <n v="6"/>
    <x v="451"/>
    <s v="mhanseddh@instagram.com"/>
    <x v="1"/>
    <s v="Rob"/>
    <s v="L"/>
    <x v="3"/>
    <n v="3.5849999999999995"/>
    <n v="21.509999999999998"/>
    <x v="0"/>
    <x v="1"/>
    <x v="0"/>
    <n v="1.2905999999999997"/>
  </r>
  <r>
    <s v="CPX-19312-088"/>
    <x v="117"/>
    <x v="452"/>
    <s v="L-M-0.5"/>
    <n v="6"/>
    <x v="452"/>
    <s v="fkienleindi@trellian.com"/>
    <x v="1"/>
    <s v="Lib"/>
    <s v="M"/>
    <x v="1"/>
    <n v="8.73"/>
    <n v="52.38"/>
    <x v="3"/>
    <x v="0"/>
    <x v="0"/>
    <n v="6.8094000000000001"/>
  </r>
  <r>
    <s v="RXI-67978-260"/>
    <x v="392"/>
    <x v="453"/>
    <s v="E-D-1"/>
    <n v="6"/>
    <x v="453"/>
    <s v="kegglestonedj@sphinn.com"/>
    <x v="1"/>
    <s v="Exc"/>
    <s v="D"/>
    <x v="0"/>
    <n v="12.15"/>
    <n v="72.900000000000006"/>
    <x v="1"/>
    <x v="2"/>
    <x v="1"/>
    <n v="8.0190000000000001"/>
  </r>
  <r>
    <s v="LKE-14821-285"/>
    <x v="393"/>
    <x v="454"/>
    <s v="R-M-0.2"/>
    <n v="5"/>
    <x v="454"/>
    <s v="bsemkinsdk@unc.edu"/>
    <x v="1"/>
    <s v="Rob"/>
    <s v="M"/>
    <x v="3"/>
    <n v="2.9849999999999999"/>
    <n v="14.924999999999999"/>
    <x v="0"/>
    <x v="0"/>
    <x v="0"/>
    <n v="0.89549999999999996"/>
  </r>
  <r>
    <s v="LRK-97117-150"/>
    <x v="394"/>
    <x v="455"/>
    <s v="L-L-1"/>
    <n v="6"/>
    <x v="455"/>
    <s v="slorenzettidl@is.gd"/>
    <x v="0"/>
    <s v="Lib"/>
    <s v="L"/>
    <x v="0"/>
    <n v="15.85"/>
    <n v="95.1"/>
    <x v="3"/>
    <x v="1"/>
    <x v="1"/>
    <n v="12.363000000000001"/>
  </r>
  <r>
    <s v="IGK-51227-573"/>
    <x v="137"/>
    <x v="456"/>
    <s v="L-D-0.5"/>
    <n v="2"/>
    <x v="456"/>
    <s v="bgiannazzidm@apple.com"/>
    <x v="0"/>
    <s v="Lib"/>
    <s v="D"/>
    <x v="1"/>
    <n v="7.77"/>
    <n v="15.54"/>
    <x v="3"/>
    <x v="2"/>
    <x v="1"/>
    <n v="2.0202"/>
  </r>
  <r>
    <s v="ZAY-43009-775"/>
    <x v="395"/>
    <x v="457"/>
    <s v="L-D-0.2"/>
    <n v="6"/>
    <x v="457"/>
    <s v=""/>
    <x v="0"/>
    <s v="Lib"/>
    <s v="D"/>
    <x v="3"/>
    <n v="3.8849999999999998"/>
    <n v="23.31"/>
    <x v="3"/>
    <x v="2"/>
    <x v="1"/>
    <n v="3.0303"/>
  </r>
  <r>
    <s v="EMA-63190-618"/>
    <x v="396"/>
    <x v="458"/>
    <s v="E-M-0.2"/>
    <n v="1"/>
    <x v="458"/>
    <s v="ulethbrigdo@hc360.com"/>
    <x v="0"/>
    <s v="Exc"/>
    <s v="M"/>
    <x v="3"/>
    <n v="4.125"/>
    <n v="4.125"/>
    <x v="1"/>
    <x v="0"/>
    <x v="0"/>
    <n v="0.45374999999999999"/>
  </r>
  <r>
    <s v="FBI-35855-418"/>
    <x v="189"/>
    <x v="459"/>
    <s v="R-M-0.5"/>
    <n v="6"/>
    <x v="459"/>
    <s v="sfarnishdp@dmoz.org"/>
    <x v="2"/>
    <s v="Rob"/>
    <s v="M"/>
    <x v="1"/>
    <n v="5.97"/>
    <n v="35.82"/>
    <x v="0"/>
    <x v="0"/>
    <x v="1"/>
    <n v="2.1491999999999996"/>
  </r>
  <r>
    <s v="TXB-80533-417"/>
    <x v="8"/>
    <x v="460"/>
    <s v="L-L-1"/>
    <n v="2"/>
    <x v="460"/>
    <s v="fjecockdq@unicef.org"/>
    <x v="0"/>
    <s v="Lib"/>
    <s v="L"/>
    <x v="0"/>
    <n v="15.85"/>
    <n v="31.7"/>
    <x v="3"/>
    <x v="1"/>
    <x v="1"/>
    <n v="4.1210000000000004"/>
  </r>
  <r>
    <s v="MBM-00112-248"/>
    <x v="397"/>
    <x v="461"/>
    <s v="L-L-1"/>
    <n v="5"/>
    <x v="461"/>
    <s v=""/>
    <x v="0"/>
    <s v="Lib"/>
    <s v="L"/>
    <x v="0"/>
    <n v="15.85"/>
    <n v="79.25"/>
    <x v="3"/>
    <x v="1"/>
    <x v="0"/>
    <n v="10.302500000000002"/>
  </r>
  <r>
    <s v="EUO-69145-988"/>
    <x v="398"/>
    <x v="462"/>
    <s v="E-D-0.2"/>
    <n v="3"/>
    <x v="462"/>
    <s v="hpallisterds@ning.com"/>
    <x v="0"/>
    <s v="Exc"/>
    <s v="D"/>
    <x v="3"/>
    <n v="3.645"/>
    <n v="10.935"/>
    <x v="1"/>
    <x v="2"/>
    <x v="1"/>
    <n v="1.2028500000000002"/>
  </r>
  <r>
    <s v="GYA-80327-368"/>
    <x v="399"/>
    <x v="463"/>
    <s v="A-D-1"/>
    <n v="4"/>
    <x v="463"/>
    <s v="cmershdt@drupal.org"/>
    <x v="1"/>
    <s v="Ara"/>
    <s v="D"/>
    <x v="0"/>
    <n v="9.9499999999999993"/>
    <n v="39.799999999999997"/>
    <x v="2"/>
    <x v="2"/>
    <x v="1"/>
    <n v="3.5819999999999994"/>
  </r>
  <r>
    <s v="TNW-41601-420"/>
    <x v="400"/>
    <x v="464"/>
    <s v="R-M-1"/>
    <n v="5"/>
    <x v="464"/>
    <s v="murione5@alexa.com"/>
    <x v="1"/>
    <s v="Rob"/>
    <s v="M"/>
    <x v="0"/>
    <n v="9.9499999999999993"/>
    <n v="49.75"/>
    <x v="0"/>
    <x v="0"/>
    <x v="0"/>
    <n v="2.9849999999999999"/>
  </r>
  <r>
    <s v="ALR-62963-723"/>
    <x v="401"/>
    <x v="465"/>
    <s v="R-D-0.2"/>
    <n v="3"/>
    <x v="465"/>
    <s v=""/>
    <x v="1"/>
    <s v="Rob"/>
    <s v="D"/>
    <x v="3"/>
    <n v="2.6849999999999996"/>
    <n v="8.0549999999999997"/>
    <x v="0"/>
    <x v="2"/>
    <x v="0"/>
    <n v="0.4832999999999999"/>
  </r>
  <r>
    <s v="JIG-27636-870"/>
    <x v="402"/>
    <x v="466"/>
    <s v="R-L-1"/>
    <n v="4"/>
    <x v="466"/>
    <s v=""/>
    <x v="0"/>
    <s v="Rob"/>
    <s v="L"/>
    <x v="0"/>
    <n v="11.95"/>
    <n v="47.8"/>
    <x v="0"/>
    <x v="1"/>
    <x v="1"/>
    <n v="2.8679999999999999"/>
  </r>
  <r>
    <s v="CTE-31437-326"/>
    <x v="6"/>
    <x v="467"/>
    <s v="R-M-0.2"/>
    <n v="4"/>
    <x v="467"/>
    <s v="gduckerdx@patch.com"/>
    <x v="2"/>
    <s v="Rob"/>
    <s v="M"/>
    <x v="3"/>
    <n v="2.9849999999999999"/>
    <n v="11.94"/>
    <x v="0"/>
    <x v="0"/>
    <x v="1"/>
    <n v="0.71639999999999993"/>
  </r>
  <r>
    <s v="CTE-31437-326"/>
    <x v="6"/>
    <x v="467"/>
    <s v="E-M-0.2"/>
    <n v="4"/>
    <x v="467"/>
    <s v="gduckerdx@patch.com"/>
    <x v="2"/>
    <s v="Exc"/>
    <s v="M"/>
    <x v="3"/>
    <n v="4.125"/>
    <n v="16.5"/>
    <x v="1"/>
    <x v="0"/>
    <x v="1"/>
    <n v="1.8149999999999999"/>
  </r>
  <r>
    <s v="CTE-31437-326"/>
    <x v="6"/>
    <x v="467"/>
    <s v="L-D-1"/>
    <n v="4"/>
    <x v="467"/>
    <s v="gduckerdx@patch.com"/>
    <x v="2"/>
    <s v="Lib"/>
    <s v="D"/>
    <x v="0"/>
    <n v="12.95"/>
    <n v="51.8"/>
    <x v="3"/>
    <x v="2"/>
    <x v="1"/>
    <n v="6.734"/>
  </r>
  <r>
    <s v="CTE-31437-326"/>
    <x v="6"/>
    <x v="467"/>
    <s v="L-L-0.2"/>
    <n v="3"/>
    <x v="467"/>
    <s v="gduckerdx@patch.com"/>
    <x v="2"/>
    <s v="Lib"/>
    <s v="L"/>
    <x v="3"/>
    <n v="4.7549999999999999"/>
    <n v="14.265000000000001"/>
    <x v="3"/>
    <x v="1"/>
    <x v="1"/>
    <n v="1.8544499999999999"/>
  </r>
  <r>
    <s v="SLD-63003-334"/>
    <x v="403"/>
    <x v="468"/>
    <s v="L-M-0.2"/>
    <n v="6"/>
    <x v="468"/>
    <s v="wstearleye1@census.gov"/>
    <x v="0"/>
    <s v="Lib"/>
    <s v="M"/>
    <x v="3"/>
    <n v="4.3650000000000002"/>
    <n v="26.19"/>
    <x v="3"/>
    <x v="0"/>
    <x v="1"/>
    <n v="3.4047000000000001"/>
  </r>
  <r>
    <s v="BXN-64230-789"/>
    <x v="404"/>
    <x v="469"/>
    <s v="A-L-1"/>
    <n v="2"/>
    <x v="469"/>
    <s v="dwincere2@marriott.com"/>
    <x v="0"/>
    <s v="Ara"/>
    <s v="L"/>
    <x v="0"/>
    <n v="12.95"/>
    <n v="25.9"/>
    <x v="2"/>
    <x v="1"/>
    <x v="0"/>
    <n v="2.331"/>
  </r>
  <r>
    <s v="XEE-37895-169"/>
    <x v="21"/>
    <x v="470"/>
    <s v="A-L-2.5"/>
    <n v="3"/>
    <x v="470"/>
    <s v="plyfielde3@baidu.com"/>
    <x v="0"/>
    <s v="Ara"/>
    <s v="L"/>
    <x v="2"/>
    <n v="29.784999999999997"/>
    <n v="89.35499999999999"/>
    <x v="2"/>
    <x v="1"/>
    <x v="0"/>
    <n v="8.0419499999999982"/>
  </r>
  <r>
    <s v="ZTX-80764-911"/>
    <x v="239"/>
    <x v="471"/>
    <s v="L-D-0.5"/>
    <n v="6"/>
    <x v="471"/>
    <s v="hperrise4@studiopress.com"/>
    <x v="1"/>
    <s v="Lib"/>
    <s v="D"/>
    <x v="1"/>
    <n v="7.77"/>
    <n v="46.62"/>
    <x v="3"/>
    <x v="2"/>
    <x v="1"/>
    <n v="6.0606"/>
  </r>
  <r>
    <s v="WVT-88135-549"/>
    <x v="405"/>
    <x v="464"/>
    <s v="A-D-1"/>
    <n v="3"/>
    <x v="464"/>
    <s v="murione5@alexa.com"/>
    <x v="1"/>
    <s v="Ara"/>
    <s v="D"/>
    <x v="0"/>
    <n v="9.9499999999999993"/>
    <n v="29.849999999999998"/>
    <x v="2"/>
    <x v="2"/>
    <x v="0"/>
    <n v="2.6864999999999997"/>
  </r>
  <r>
    <s v="IPA-94170-889"/>
    <x v="292"/>
    <x v="472"/>
    <s v="R-L-0.2"/>
    <n v="3"/>
    <x v="472"/>
    <s v="ckide6@narod.ru"/>
    <x v="1"/>
    <s v="Rob"/>
    <s v="L"/>
    <x v="3"/>
    <n v="3.5849999999999995"/>
    <n v="10.754999999999999"/>
    <x v="0"/>
    <x v="1"/>
    <x v="0"/>
    <n v="0.64529999999999987"/>
  </r>
  <r>
    <s v="YQL-63755-365"/>
    <x v="117"/>
    <x v="473"/>
    <s v="A-M-0.2"/>
    <n v="4"/>
    <x v="473"/>
    <s v="cbeinee7@xinhuanet.com"/>
    <x v="0"/>
    <s v="Ara"/>
    <s v="M"/>
    <x v="3"/>
    <n v="3.375"/>
    <n v="13.5"/>
    <x v="2"/>
    <x v="0"/>
    <x v="0"/>
    <n v="1.2149999999999999"/>
  </r>
  <r>
    <s v="RKW-81145-984"/>
    <x v="406"/>
    <x v="474"/>
    <s v="L-L-1"/>
    <n v="3"/>
    <x v="474"/>
    <s v="cbakeupe8@globo.com"/>
    <x v="0"/>
    <s v="Lib"/>
    <s v="L"/>
    <x v="0"/>
    <n v="15.85"/>
    <n v="47.55"/>
    <x v="3"/>
    <x v="1"/>
    <x v="1"/>
    <n v="6.1815000000000007"/>
  </r>
  <r>
    <s v="MBT-23379-866"/>
    <x v="407"/>
    <x v="475"/>
    <s v="L-L-1"/>
    <n v="5"/>
    <x v="475"/>
    <s v="nhelkine9@example.com"/>
    <x v="0"/>
    <s v="Lib"/>
    <s v="L"/>
    <x v="0"/>
    <n v="15.85"/>
    <n v="79.25"/>
    <x v="3"/>
    <x v="1"/>
    <x v="1"/>
    <n v="10.302500000000002"/>
  </r>
  <r>
    <s v="GEJ-39834-935"/>
    <x v="408"/>
    <x v="476"/>
    <s v="L-M-0.2"/>
    <n v="6"/>
    <x v="476"/>
    <s v="pwitheringtonea@networkadvertising.org"/>
    <x v="0"/>
    <s v="Lib"/>
    <s v="M"/>
    <x v="3"/>
    <n v="4.3650000000000002"/>
    <n v="26.19"/>
    <x v="3"/>
    <x v="0"/>
    <x v="0"/>
    <n v="3.4047000000000001"/>
  </r>
  <r>
    <s v="KRW-91640-596"/>
    <x v="409"/>
    <x v="477"/>
    <s v="R-L-0.5"/>
    <n v="3"/>
    <x v="477"/>
    <s v="ttilzeyeb@hostgator.com"/>
    <x v="0"/>
    <s v="Rob"/>
    <s v="L"/>
    <x v="1"/>
    <n v="7.169999999999999"/>
    <n v="21.509999999999998"/>
    <x v="0"/>
    <x v="1"/>
    <x v="1"/>
    <n v="1.2905999999999997"/>
  </r>
  <r>
    <s v="AOT-70449-651"/>
    <x v="410"/>
    <x v="478"/>
    <s v="R-D-2.5"/>
    <n v="5"/>
    <x v="478"/>
    <s v=""/>
    <x v="0"/>
    <s v="Rob"/>
    <s v="D"/>
    <x v="2"/>
    <n v="20.584999999999997"/>
    <n v="102.92499999999998"/>
    <x v="0"/>
    <x v="2"/>
    <x v="0"/>
    <n v="6.1754999999999995"/>
  </r>
  <r>
    <s v="DGC-21813-731"/>
    <x v="127"/>
    <x v="479"/>
    <s v="L-D-0.2"/>
    <n v="2"/>
    <x v="479"/>
    <s v=""/>
    <x v="0"/>
    <s v="Lib"/>
    <s v="D"/>
    <x v="3"/>
    <n v="3.8849999999999998"/>
    <n v="7.77"/>
    <x v="3"/>
    <x v="2"/>
    <x v="1"/>
    <n v="1.0101"/>
  </r>
  <r>
    <s v="JBE-92943-643"/>
    <x v="411"/>
    <x v="480"/>
    <s v="E-D-2.5"/>
    <n v="5"/>
    <x v="480"/>
    <s v="kimortsee@alexa.com"/>
    <x v="0"/>
    <s v="Exc"/>
    <s v="D"/>
    <x v="2"/>
    <n v="27.945"/>
    <n v="139.72499999999999"/>
    <x v="1"/>
    <x v="2"/>
    <x v="1"/>
    <n v="15.36975"/>
  </r>
  <r>
    <s v="ZIL-34948-499"/>
    <x v="112"/>
    <x v="464"/>
    <s v="A-D-0.5"/>
    <n v="2"/>
    <x v="464"/>
    <s v="murione5@alexa.com"/>
    <x v="1"/>
    <s v="Ara"/>
    <s v="D"/>
    <x v="1"/>
    <n v="5.97"/>
    <n v="11.94"/>
    <x v="2"/>
    <x v="2"/>
    <x v="0"/>
    <n v="1.0746"/>
  </r>
  <r>
    <s v="JSU-23781-256"/>
    <x v="412"/>
    <x v="481"/>
    <s v="L-D-0.2"/>
    <n v="1"/>
    <x v="481"/>
    <s v="marmisteadeg@blogtalkradio.com"/>
    <x v="0"/>
    <s v="Lib"/>
    <s v="D"/>
    <x v="3"/>
    <n v="3.8849999999999998"/>
    <n v="3.8849999999999998"/>
    <x v="3"/>
    <x v="2"/>
    <x v="1"/>
    <n v="0.50505"/>
  </r>
  <r>
    <s v="JSU-23781-256"/>
    <x v="412"/>
    <x v="481"/>
    <s v="R-M-1"/>
    <n v="4"/>
    <x v="481"/>
    <s v="marmisteadeg@blogtalkradio.com"/>
    <x v="0"/>
    <s v="Rob"/>
    <s v="M"/>
    <x v="0"/>
    <n v="9.9499999999999993"/>
    <n v="39.799999999999997"/>
    <x v="0"/>
    <x v="0"/>
    <x v="1"/>
    <n v="2.3879999999999999"/>
  </r>
  <r>
    <s v="VPX-44956-367"/>
    <x v="413"/>
    <x v="482"/>
    <s v="R-M-0.5"/>
    <n v="5"/>
    <x v="482"/>
    <s v="vupstoneei@google.pl"/>
    <x v="0"/>
    <s v="Rob"/>
    <s v="M"/>
    <x v="1"/>
    <n v="5.97"/>
    <n v="29.849999999999998"/>
    <x v="0"/>
    <x v="0"/>
    <x v="1"/>
    <n v="1.7909999999999999"/>
  </r>
  <r>
    <s v="VTB-46451-959"/>
    <x v="414"/>
    <x v="483"/>
    <s v="L-D-2.5"/>
    <n v="1"/>
    <x v="483"/>
    <s v="bbeelbyej@rediff.com"/>
    <x v="1"/>
    <s v="Lib"/>
    <s v="D"/>
    <x v="2"/>
    <n v="29.784999999999997"/>
    <n v="29.784999999999997"/>
    <x v="3"/>
    <x v="2"/>
    <x v="1"/>
    <n v="3.8720499999999998"/>
  </r>
  <r>
    <s v="DNZ-11665-950"/>
    <x v="415"/>
    <x v="484"/>
    <s v="L-L-2.5"/>
    <n v="2"/>
    <x v="484"/>
    <s v=""/>
    <x v="0"/>
    <s v="Lib"/>
    <s v="L"/>
    <x v="2"/>
    <n v="36.454999999999998"/>
    <n v="72.91"/>
    <x v="3"/>
    <x v="1"/>
    <x v="1"/>
    <n v="9.4782999999999991"/>
  </r>
  <r>
    <s v="ITR-54735-364"/>
    <x v="416"/>
    <x v="485"/>
    <s v="R-D-0.2"/>
    <n v="5"/>
    <x v="485"/>
    <s v=""/>
    <x v="0"/>
    <s v="Rob"/>
    <s v="D"/>
    <x v="3"/>
    <n v="2.6849999999999996"/>
    <n v="13.424999999999997"/>
    <x v="0"/>
    <x v="2"/>
    <x v="0"/>
    <n v="0.80549999999999988"/>
  </r>
  <r>
    <s v="YDS-02797-307"/>
    <x v="417"/>
    <x v="486"/>
    <s v="E-M-2.5"/>
    <n v="4"/>
    <x v="486"/>
    <s v="wspeechlyem@amazon.com"/>
    <x v="0"/>
    <s v="Exc"/>
    <s v="M"/>
    <x v="2"/>
    <n v="31.624999999999996"/>
    <n v="126.49999999999999"/>
    <x v="1"/>
    <x v="0"/>
    <x v="0"/>
    <n v="13.914999999999999"/>
  </r>
  <r>
    <s v="BPG-68988-842"/>
    <x v="418"/>
    <x v="487"/>
    <s v="E-M-0.5"/>
    <n v="5"/>
    <x v="487"/>
    <s v="iphillpoten@buzzfeed.com"/>
    <x v="2"/>
    <s v="Exc"/>
    <s v="M"/>
    <x v="1"/>
    <n v="8.25"/>
    <n v="41.25"/>
    <x v="1"/>
    <x v="0"/>
    <x v="1"/>
    <n v="4.5374999999999996"/>
  </r>
  <r>
    <s v="XZG-51938-658"/>
    <x v="419"/>
    <x v="488"/>
    <s v="E-L-0.5"/>
    <n v="6"/>
    <x v="488"/>
    <s v="lpennaccieo@statcounter.com"/>
    <x v="0"/>
    <s v="Exc"/>
    <s v="L"/>
    <x v="1"/>
    <n v="8.91"/>
    <n v="53.46"/>
    <x v="1"/>
    <x v="1"/>
    <x v="1"/>
    <n v="5.8805999999999994"/>
  </r>
  <r>
    <s v="KAR-24978-271"/>
    <x v="420"/>
    <x v="489"/>
    <s v="R-M-1"/>
    <n v="6"/>
    <x v="489"/>
    <s v="sarpinep@moonfruit.com"/>
    <x v="0"/>
    <s v="Rob"/>
    <s v="M"/>
    <x v="0"/>
    <n v="9.9499999999999993"/>
    <n v="59.699999999999996"/>
    <x v="0"/>
    <x v="0"/>
    <x v="1"/>
    <n v="3.5819999999999999"/>
  </r>
  <r>
    <s v="FQK-28730-361"/>
    <x v="421"/>
    <x v="490"/>
    <s v="R-M-1"/>
    <n v="6"/>
    <x v="490"/>
    <s v="dfrieseq@cargocollective.com"/>
    <x v="0"/>
    <s v="Rob"/>
    <s v="M"/>
    <x v="0"/>
    <n v="9.9499999999999993"/>
    <n v="59.699999999999996"/>
    <x v="0"/>
    <x v="0"/>
    <x v="1"/>
    <n v="3.5819999999999999"/>
  </r>
  <r>
    <s v="BGB-67996-089"/>
    <x v="422"/>
    <x v="491"/>
    <s v="R-D-1"/>
    <n v="5"/>
    <x v="491"/>
    <s v="rsharerer@flavors.me"/>
    <x v="0"/>
    <s v="Rob"/>
    <s v="D"/>
    <x v="0"/>
    <n v="8.9499999999999993"/>
    <n v="44.75"/>
    <x v="0"/>
    <x v="2"/>
    <x v="1"/>
    <n v="2.6849999999999996"/>
  </r>
  <r>
    <s v="XMC-20620-809"/>
    <x v="423"/>
    <x v="492"/>
    <s v="E-M-0.5"/>
    <n v="2"/>
    <x v="492"/>
    <s v="nnasebyes@umich.edu"/>
    <x v="0"/>
    <s v="Exc"/>
    <s v="M"/>
    <x v="1"/>
    <n v="8.25"/>
    <n v="16.5"/>
    <x v="1"/>
    <x v="0"/>
    <x v="0"/>
    <n v="1.8149999999999999"/>
  </r>
  <r>
    <s v="ZSO-58292-191"/>
    <x v="109"/>
    <x v="493"/>
    <s v="R-D-0.5"/>
    <n v="4"/>
    <x v="493"/>
    <s v=""/>
    <x v="0"/>
    <s v="Rob"/>
    <s v="D"/>
    <x v="1"/>
    <n v="5.3699999999999992"/>
    <n v="21.479999999999997"/>
    <x v="0"/>
    <x v="2"/>
    <x v="1"/>
    <n v="1.2887999999999997"/>
  </r>
  <r>
    <s v="LWJ-06793-303"/>
    <x v="204"/>
    <x v="494"/>
    <s v="R-M-2.5"/>
    <n v="2"/>
    <x v="494"/>
    <s v="koculleneu@ca.gov"/>
    <x v="1"/>
    <s v="Rob"/>
    <s v="M"/>
    <x v="2"/>
    <n v="22.884999999999998"/>
    <n v="45.769999999999996"/>
    <x v="0"/>
    <x v="0"/>
    <x v="0"/>
    <n v="2.7461999999999995"/>
  </r>
  <r>
    <s v="FLM-82229-989"/>
    <x v="424"/>
    <x v="495"/>
    <s v="L-L-0.2"/>
    <n v="2"/>
    <x v="495"/>
    <s v=""/>
    <x v="1"/>
    <s v="Lib"/>
    <s v="L"/>
    <x v="3"/>
    <n v="4.7549999999999999"/>
    <n v="9.51"/>
    <x v="3"/>
    <x v="1"/>
    <x v="1"/>
    <n v="1.2363"/>
  </r>
  <r>
    <s v="CPV-90280-133"/>
    <x v="13"/>
    <x v="464"/>
    <s v="R-D-0.2"/>
    <n v="3"/>
    <x v="464"/>
    <s v="murione5@alexa.com"/>
    <x v="1"/>
    <s v="Rob"/>
    <s v="D"/>
    <x v="3"/>
    <n v="2.6849999999999996"/>
    <n v="8.0549999999999997"/>
    <x v="0"/>
    <x v="2"/>
    <x v="0"/>
    <n v="0.4832999999999999"/>
  </r>
  <r>
    <s v="OGW-60685-912"/>
    <x v="224"/>
    <x v="496"/>
    <s v="E-D-2.5"/>
    <n v="4"/>
    <x v="496"/>
    <s v="hbranganex@woothemes.com"/>
    <x v="0"/>
    <s v="Exc"/>
    <s v="D"/>
    <x v="2"/>
    <n v="27.945"/>
    <n v="111.78"/>
    <x v="1"/>
    <x v="2"/>
    <x v="0"/>
    <n v="12.2958"/>
  </r>
  <r>
    <s v="DEC-11160-362"/>
    <x v="220"/>
    <x v="497"/>
    <s v="R-D-0.2"/>
    <n v="4"/>
    <x v="497"/>
    <s v="agallyoney@engadget.com"/>
    <x v="0"/>
    <s v="Rob"/>
    <s v="D"/>
    <x v="3"/>
    <n v="2.6849999999999996"/>
    <n v="10.739999999999998"/>
    <x v="0"/>
    <x v="2"/>
    <x v="0"/>
    <n v="0.64439999999999986"/>
  </r>
  <r>
    <s v="WCT-07869-499"/>
    <x v="91"/>
    <x v="498"/>
    <s v="R-D-0.5"/>
    <n v="5"/>
    <x v="498"/>
    <s v="bdomangeez@yahoo.co.jp"/>
    <x v="0"/>
    <s v="Rob"/>
    <s v="D"/>
    <x v="1"/>
    <n v="5.3699999999999992"/>
    <n v="26.849999999999994"/>
    <x v="0"/>
    <x v="2"/>
    <x v="1"/>
    <n v="1.6109999999999998"/>
  </r>
  <r>
    <s v="FHD-89872-325"/>
    <x v="425"/>
    <x v="499"/>
    <s v="L-L-1"/>
    <n v="4"/>
    <x v="499"/>
    <s v="koslerf0@gmpg.org"/>
    <x v="0"/>
    <s v="Lib"/>
    <s v="L"/>
    <x v="0"/>
    <n v="15.85"/>
    <n v="63.4"/>
    <x v="3"/>
    <x v="1"/>
    <x v="0"/>
    <n v="8.2420000000000009"/>
  </r>
  <r>
    <s v="AZF-45991-584"/>
    <x v="426"/>
    <x v="500"/>
    <s v="A-D-2.5"/>
    <n v="1"/>
    <x v="500"/>
    <s v=""/>
    <x v="1"/>
    <s v="Ara"/>
    <s v="D"/>
    <x v="2"/>
    <n v="22.884999999999998"/>
    <n v="22.884999999999998"/>
    <x v="2"/>
    <x v="2"/>
    <x v="0"/>
    <n v="2.0596499999999995"/>
  </r>
  <r>
    <s v="MDG-14481-513"/>
    <x v="427"/>
    <x v="501"/>
    <s v="A-M-2.5"/>
    <n v="4"/>
    <x v="501"/>
    <s v="zpellettf2@dailymotion.com"/>
    <x v="0"/>
    <s v="Ara"/>
    <s v="M"/>
    <x v="2"/>
    <n v="25.874999999999996"/>
    <n v="103.49999999999999"/>
    <x v="2"/>
    <x v="0"/>
    <x v="1"/>
    <n v="9.3149999999999977"/>
  </r>
  <r>
    <s v="OFN-49424-848"/>
    <x v="428"/>
    <x v="502"/>
    <s v="R-L-2.5"/>
    <n v="2"/>
    <x v="502"/>
    <s v="isprakesf3@spiegel.de"/>
    <x v="0"/>
    <s v="Rob"/>
    <s v="L"/>
    <x v="2"/>
    <n v="27.484999999999996"/>
    <n v="54.969999999999992"/>
    <x v="0"/>
    <x v="1"/>
    <x v="1"/>
    <n v="3.2981999999999996"/>
  </r>
  <r>
    <s v="NFA-03411-746"/>
    <x v="383"/>
    <x v="503"/>
    <s v="A-L-0.5"/>
    <n v="2"/>
    <x v="503"/>
    <s v="hfromantf4@ucsd.edu"/>
    <x v="0"/>
    <s v="Ara"/>
    <s v="L"/>
    <x v="1"/>
    <n v="7.77"/>
    <n v="15.54"/>
    <x v="2"/>
    <x v="1"/>
    <x v="1"/>
    <n v="1.3985999999999998"/>
  </r>
  <r>
    <s v="CYM-74988-450"/>
    <x v="156"/>
    <x v="504"/>
    <s v="L-D-0.2"/>
    <n v="4"/>
    <x v="504"/>
    <s v="rflearf5@artisteer.com"/>
    <x v="2"/>
    <s v="Lib"/>
    <s v="D"/>
    <x v="3"/>
    <n v="3.8849999999999998"/>
    <n v="15.54"/>
    <x v="3"/>
    <x v="2"/>
    <x v="1"/>
    <n v="2.0202"/>
  </r>
  <r>
    <s v="WTV-24996-658"/>
    <x v="429"/>
    <x v="505"/>
    <s v="E-D-2.5"/>
    <n v="3"/>
    <x v="505"/>
    <s v=""/>
    <x v="1"/>
    <s v="Exc"/>
    <s v="D"/>
    <x v="2"/>
    <n v="27.945"/>
    <n v="83.835000000000008"/>
    <x v="1"/>
    <x v="2"/>
    <x v="1"/>
    <n v="9.2218499999999999"/>
  </r>
  <r>
    <s v="DSL-69915-544"/>
    <x v="103"/>
    <x v="506"/>
    <s v="R-L-0.2"/>
    <n v="3"/>
    <x v="506"/>
    <s v="wlightollersf9@baidu.com"/>
    <x v="0"/>
    <s v="Rob"/>
    <s v="L"/>
    <x v="3"/>
    <n v="3.5849999999999995"/>
    <n v="10.754999999999999"/>
    <x v="0"/>
    <x v="1"/>
    <x v="0"/>
    <n v="0.64529999999999987"/>
  </r>
  <r>
    <s v="NBT-35757-542"/>
    <x v="361"/>
    <x v="507"/>
    <s v="E-L-0.2"/>
    <n v="3"/>
    <x v="507"/>
    <s v="bmundenf8@elpais.com"/>
    <x v="0"/>
    <s v="Exc"/>
    <s v="L"/>
    <x v="3"/>
    <n v="4.4550000000000001"/>
    <n v="13.365"/>
    <x v="1"/>
    <x v="1"/>
    <x v="0"/>
    <n v="1.4701499999999998"/>
  </r>
  <r>
    <s v="OYU-25085-528"/>
    <x v="120"/>
    <x v="506"/>
    <s v="E-L-0.2"/>
    <n v="4"/>
    <x v="506"/>
    <s v="wlightollersf9@baidu.com"/>
    <x v="0"/>
    <s v="Exc"/>
    <s v="L"/>
    <x v="3"/>
    <n v="4.4550000000000001"/>
    <n v="17.82"/>
    <x v="1"/>
    <x v="1"/>
    <x v="0"/>
    <n v="1.9601999999999999"/>
  </r>
  <r>
    <s v="XCG-07109-195"/>
    <x v="430"/>
    <x v="508"/>
    <s v="L-D-0.2"/>
    <n v="6"/>
    <x v="508"/>
    <s v="nbrakespearfa@rediff.com"/>
    <x v="0"/>
    <s v="Lib"/>
    <s v="D"/>
    <x v="3"/>
    <n v="3.8849999999999998"/>
    <n v="23.31"/>
    <x v="3"/>
    <x v="2"/>
    <x v="0"/>
    <n v="3.0303"/>
  </r>
  <r>
    <s v="YZA-25234-630"/>
    <x v="125"/>
    <x v="509"/>
    <s v="E-D-0.2"/>
    <n v="2"/>
    <x v="509"/>
    <s v="mglawsopfb@reverbnation.com"/>
    <x v="0"/>
    <s v="Exc"/>
    <s v="D"/>
    <x v="3"/>
    <n v="3.645"/>
    <n v="7.29"/>
    <x v="1"/>
    <x v="2"/>
    <x v="1"/>
    <n v="0.80190000000000006"/>
  </r>
  <r>
    <s v="OKU-29966-417"/>
    <x v="431"/>
    <x v="510"/>
    <s v="E-L-0.2"/>
    <n v="4"/>
    <x v="510"/>
    <s v="galbertsfc@etsy.com"/>
    <x v="2"/>
    <s v="Exc"/>
    <s v="L"/>
    <x v="3"/>
    <n v="4.4550000000000001"/>
    <n v="17.82"/>
    <x v="1"/>
    <x v="1"/>
    <x v="0"/>
    <n v="1.9601999999999999"/>
  </r>
  <r>
    <s v="MEX-29350-659"/>
    <x v="40"/>
    <x v="511"/>
    <s v="E-M-1"/>
    <n v="5"/>
    <x v="511"/>
    <s v="vpolglasefd@about.me"/>
    <x v="0"/>
    <s v="Exc"/>
    <s v="M"/>
    <x v="0"/>
    <n v="13.75"/>
    <n v="68.75"/>
    <x v="1"/>
    <x v="0"/>
    <x v="1"/>
    <n v="7.5625"/>
  </r>
  <r>
    <s v="NOY-99738-977"/>
    <x v="432"/>
    <x v="512"/>
    <s v="R-L-2.5"/>
    <n v="2"/>
    <x v="512"/>
    <s v=""/>
    <x v="2"/>
    <s v="Rob"/>
    <s v="L"/>
    <x v="2"/>
    <n v="27.484999999999996"/>
    <n v="54.969999999999992"/>
    <x v="0"/>
    <x v="1"/>
    <x v="0"/>
    <n v="3.2981999999999996"/>
  </r>
  <r>
    <s v="TCR-01064-030"/>
    <x v="254"/>
    <x v="513"/>
    <s v="E-M-1"/>
    <n v="6"/>
    <x v="513"/>
    <s v="sbuschff@so-net.ne.jp"/>
    <x v="1"/>
    <s v="Exc"/>
    <s v="M"/>
    <x v="0"/>
    <n v="13.75"/>
    <n v="82.5"/>
    <x v="1"/>
    <x v="0"/>
    <x v="1"/>
    <n v="9.0749999999999993"/>
  </r>
  <r>
    <s v="YUL-42750-776"/>
    <x v="219"/>
    <x v="514"/>
    <s v="L-M-0.2"/>
    <n v="2"/>
    <x v="514"/>
    <s v="craisbeckfg@webnode.com"/>
    <x v="0"/>
    <s v="Lib"/>
    <s v="M"/>
    <x v="3"/>
    <n v="4.3650000000000002"/>
    <n v="8.73"/>
    <x v="3"/>
    <x v="0"/>
    <x v="0"/>
    <n v="1.1349"/>
  </r>
  <r>
    <s v="XQJ-86887-506"/>
    <x v="433"/>
    <x v="464"/>
    <s v="E-L-1"/>
    <n v="4"/>
    <x v="464"/>
    <s v="murione5@alexa.com"/>
    <x v="1"/>
    <s v="Exc"/>
    <s v="L"/>
    <x v="0"/>
    <n v="14.85"/>
    <n v="59.4"/>
    <x v="1"/>
    <x v="1"/>
    <x v="0"/>
    <n v="6.5339999999999998"/>
  </r>
  <r>
    <s v="CUN-90044-279"/>
    <x v="434"/>
    <x v="515"/>
    <s v="L-D-0.2"/>
    <n v="4"/>
    <x v="515"/>
    <s v=""/>
    <x v="0"/>
    <s v="Lib"/>
    <s v="D"/>
    <x v="3"/>
    <n v="3.8849999999999998"/>
    <n v="15.54"/>
    <x v="3"/>
    <x v="2"/>
    <x v="0"/>
    <n v="2.0202"/>
  </r>
  <r>
    <s v="ICC-73030-502"/>
    <x v="435"/>
    <x v="516"/>
    <s v="A-L-1"/>
    <n v="3"/>
    <x v="516"/>
    <s v="raynoldfj@ustream.tv"/>
    <x v="0"/>
    <s v="Ara"/>
    <s v="L"/>
    <x v="0"/>
    <n v="12.95"/>
    <n v="38.849999999999994"/>
    <x v="2"/>
    <x v="1"/>
    <x v="0"/>
    <n v="3.4965000000000002"/>
  </r>
  <r>
    <s v="ADP-04506-084"/>
    <x v="436"/>
    <x v="517"/>
    <s v="E-M-2.5"/>
    <n v="6"/>
    <x v="517"/>
    <s v=""/>
    <x v="0"/>
    <s v="Exc"/>
    <s v="M"/>
    <x v="2"/>
    <n v="31.624999999999996"/>
    <n v="189.74999999999997"/>
    <x v="1"/>
    <x v="0"/>
    <x v="0"/>
    <n v="20.872499999999999"/>
  </r>
  <r>
    <s v="PNU-22150-408"/>
    <x v="437"/>
    <x v="518"/>
    <s v="A-D-0.2"/>
    <n v="6"/>
    <x v="518"/>
    <s v=""/>
    <x v="1"/>
    <s v="Ara"/>
    <s v="D"/>
    <x v="3"/>
    <n v="2.9849999999999999"/>
    <n v="17.91"/>
    <x v="2"/>
    <x v="2"/>
    <x v="0"/>
    <n v="1.6118999999999999"/>
  </r>
  <r>
    <s v="VSQ-07182-513"/>
    <x v="438"/>
    <x v="519"/>
    <s v="L-L-0.2"/>
    <n v="6"/>
    <x v="519"/>
    <s v="bgrecefm@naver.com"/>
    <x v="2"/>
    <s v="Lib"/>
    <s v="L"/>
    <x v="3"/>
    <n v="4.7549999999999999"/>
    <n v="28.53"/>
    <x v="3"/>
    <x v="1"/>
    <x v="1"/>
    <n v="3.7088999999999999"/>
  </r>
  <r>
    <s v="SPF-31673-217"/>
    <x v="439"/>
    <x v="520"/>
    <s v="E-M-1"/>
    <n v="6"/>
    <x v="520"/>
    <s v="dflintiffg1@e-recht24.de"/>
    <x v="2"/>
    <s v="Exc"/>
    <s v="M"/>
    <x v="0"/>
    <n v="13.75"/>
    <n v="82.5"/>
    <x v="1"/>
    <x v="0"/>
    <x v="1"/>
    <n v="9.0749999999999993"/>
  </r>
  <r>
    <s v="NEX-63825-598"/>
    <x v="175"/>
    <x v="521"/>
    <s v="R-L-0.5"/>
    <n v="2"/>
    <x v="521"/>
    <s v="athysfo@cdc.gov"/>
    <x v="0"/>
    <s v="Rob"/>
    <s v="L"/>
    <x v="1"/>
    <n v="7.169999999999999"/>
    <n v="14.339999999999998"/>
    <x v="0"/>
    <x v="1"/>
    <x v="1"/>
    <n v="0.86039999999999983"/>
  </r>
  <r>
    <s v="XPG-66112-335"/>
    <x v="440"/>
    <x v="522"/>
    <s v="R-D-2.5"/>
    <n v="4"/>
    <x v="522"/>
    <s v="jchuggfp@about.me"/>
    <x v="0"/>
    <s v="Rob"/>
    <s v="D"/>
    <x v="2"/>
    <n v="20.584999999999997"/>
    <n v="82.339999999999989"/>
    <x v="0"/>
    <x v="2"/>
    <x v="1"/>
    <n v="4.9403999999999995"/>
  </r>
  <r>
    <s v="NSQ-72210-345"/>
    <x v="441"/>
    <x v="523"/>
    <s v="A-M-0.2"/>
    <n v="6"/>
    <x v="523"/>
    <s v="akelstonfq@sakura.ne.jp"/>
    <x v="0"/>
    <s v="Ara"/>
    <s v="M"/>
    <x v="3"/>
    <n v="3.375"/>
    <n v="20.25"/>
    <x v="2"/>
    <x v="0"/>
    <x v="0"/>
    <n v="1.8224999999999998"/>
  </r>
  <r>
    <s v="XRR-28376-277"/>
    <x v="442"/>
    <x v="524"/>
    <s v="R-L-2.5"/>
    <n v="6"/>
    <x v="524"/>
    <s v=""/>
    <x v="1"/>
    <s v="Rob"/>
    <s v="L"/>
    <x v="2"/>
    <n v="27.484999999999996"/>
    <n v="164.90999999999997"/>
    <x v="0"/>
    <x v="1"/>
    <x v="1"/>
    <n v="9.8945999999999987"/>
  </r>
  <r>
    <s v="WHQ-25197-475"/>
    <x v="443"/>
    <x v="525"/>
    <s v="L-L-0.2"/>
    <n v="4"/>
    <x v="525"/>
    <s v="cmottramfs@harvard.edu"/>
    <x v="0"/>
    <s v="Lib"/>
    <s v="L"/>
    <x v="3"/>
    <n v="4.7549999999999999"/>
    <n v="19.02"/>
    <x v="3"/>
    <x v="1"/>
    <x v="0"/>
    <n v="2.4725999999999999"/>
  </r>
  <r>
    <s v="HMB-30634-745"/>
    <x v="216"/>
    <x v="520"/>
    <s v="A-D-2.5"/>
    <n v="6"/>
    <x v="520"/>
    <s v="dflintiffg1@e-recht24.de"/>
    <x v="2"/>
    <s v="Ara"/>
    <s v="D"/>
    <x v="2"/>
    <n v="22.884999999999998"/>
    <n v="137.31"/>
    <x v="2"/>
    <x v="2"/>
    <x v="1"/>
    <n v="12.357899999999997"/>
  </r>
  <r>
    <s v="XTL-68000-371"/>
    <x v="444"/>
    <x v="526"/>
    <s v="A-M-0.5"/>
    <n v="4"/>
    <x v="526"/>
    <s v="dsangwinfu@weebly.com"/>
    <x v="0"/>
    <s v="Ara"/>
    <s v="M"/>
    <x v="1"/>
    <n v="6.75"/>
    <n v="27"/>
    <x v="2"/>
    <x v="0"/>
    <x v="1"/>
    <n v="2.4299999999999997"/>
  </r>
  <r>
    <s v="YES-51109-625"/>
    <x v="37"/>
    <x v="527"/>
    <s v="E-L-0.5"/>
    <n v="4"/>
    <x v="527"/>
    <s v="eaizikowitzfv@virginia.edu"/>
    <x v="2"/>
    <s v="Exc"/>
    <s v="L"/>
    <x v="1"/>
    <n v="8.91"/>
    <n v="35.64"/>
    <x v="1"/>
    <x v="1"/>
    <x v="1"/>
    <n v="3.9203999999999999"/>
  </r>
  <r>
    <s v="EAY-89850-211"/>
    <x v="445"/>
    <x v="528"/>
    <s v="A-D-0.2"/>
    <n v="2"/>
    <x v="528"/>
    <s v=""/>
    <x v="0"/>
    <s v="Ara"/>
    <s v="D"/>
    <x v="3"/>
    <n v="2.9849999999999999"/>
    <n v="5.97"/>
    <x v="2"/>
    <x v="2"/>
    <x v="0"/>
    <n v="0.5373"/>
  </r>
  <r>
    <s v="IOQ-84840-827"/>
    <x v="446"/>
    <x v="529"/>
    <s v="A-M-1"/>
    <n v="6"/>
    <x v="529"/>
    <s v="cvenourfx@ask.com"/>
    <x v="0"/>
    <s v="Ara"/>
    <s v="M"/>
    <x v="0"/>
    <n v="11.25"/>
    <n v="67.5"/>
    <x v="2"/>
    <x v="0"/>
    <x v="1"/>
    <n v="6.0749999999999993"/>
  </r>
  <r>
    <s v="FBD-56220-430"/>
    <x v="245"/>
    <x v="530"/>
    <s v="R-L-0.2"/>
    <n v="6"/>
    <x v="530"/>
    <s v="mharbyfy@163.com"/>
    <x v="0"/>
    <s v="Rob"/>
    <s v="L"/>
    <x v="3"/>
    <n v="3.5849999999999995"/>
    <n v="21.509999999999998"/>
    <x v="0"/>
    <x v="1"/>
    <x v="0"/>
    <n v="1.2905999999999997"/>
  </r>
  <r>
    <s v="COV-52659-202"/>
    <x v="447"/>
    <x v="531"/>
    <s v="L-M-2.5"/>
    <n v="2"/>
    <x v="531"/>
    <s v="rthickpennyfz@cafepress.com"/>
    <x v="0"/>
    <s v="Lib"/>
    <s v="M"/>
    <x v="2"/>
    <n v="33.464999999999996"/>
    <n v="66.929999999999993"/>
    <x v="3"/>
    <x v="0"/>
    <x v="1"/>
    <n v="8.700899999999999"/>
  </r>
  <r>
    <s v="YUO-76652-814"/>
    <x v="448"/>
    <x v="532"/>
    <s v="A-D-0.2"/>
    <n v="6"/>
    <x v="532"/>
    <s v="pormerodg0@redcross.org"/>
    <x v="0"/>
    <s v="Ara"/>
    <s v="D"/>
    <x v="3"/>
    <n v="2.9849999999999999"/>
    <n v="17.91"/>
    <x v="2"/>
    <x v="2"/>
    <x v="1"/>
    <n v="1.6118999999999999"/>
  </r>
  <r>
    <s v="PBT-36926-102"/>
    <x v="344"/>
    <x v="520"/>
    <s v="L-M-1"/>
    <n v="4"/>
    <x v="520"/>
    <s v="dflintiffg1@e-recht24.de"/>
    <x v="2"/>
    <s v="Lib"/>
    <s v="M"/>
    <x v="0"/>
    <n v="14.55"/>
    <n v="58.2"/>
    <x v="3"/>
    <x v="0"/>
    <x v="1"/>
    <n v="7.5660000000000007"/>
  </r>
  <r>
    <s v="BLV-60087-454"/>
    <x v="152"/>
    <x v="533"/>
    <s v="E-L-0.2"/>
    <n v="3"/>
    <x v="533"/>
    <s v="tzanettig2@gravatar.com"/>
    <x v="1"/>
    <s v="Exc"/>
    <s v="L"/>
    <x v="3"/>
    <n v="4.4550000000000001"/>
    <n v="13.365"/>
    <x v="1"/>
    <x v="1"/>
    <x v="1"/>
    <n v="1.4701499999999998"/>
  </r>
  <r>
    <s v="BLV-60087-454"/>
    <x v="152"/>
    <x v="533"/>
    <s v="A-M-0.5"/>
    <n v="5"/>
    <x v="533"/>
    <s v="tzanettig2@gravatar.com"/>
    <x v="1"/>
    <s v="Ara"/>
    <s v="M"/>
    <x v="1"/>
    <n v="6.75"/>
    <n v="33.75"/>
    <x v="2"/>
    <x v="0"/>
    <x v="1"/>
    <n v="3.0374999999999996"/>
  </r>
  <r>
    <s v="QYC-63914-195"/>
    <x v="449"/>
    <x v="534"/>
    <s v="E-L-1"/>
    <n v="3"/>
    <x v="534"/>
    <s v="rkirtleyg4@hatena.ne.jp"/>
    <x v="0"/>
    <s v="Exc"/>
    <s v="L"/>
    <x v="0"/>
    <n v="14.85"/>
    <n v="44.55"/>
    <x v="1"/>
    <x v="1"/>
    <x v="0"/>
    <n v="4.9005000000000001"/>
  </r>
  <r>
    <s v="OIB-77163-890"/>
    <x v="450"/>
    <x v="535"/>
    <s v="E-L-0.5"/>
    <n v="5"/>
    <x v="535"/>
    <s v="cclemencetg5@weather.com"/>
    <x v="2"/>
    <s v="Exc"/>
    <s v="L"/>
    <x v="1"/>
    <n v="8.91"/>
    <n v="44.55"/>
    <x v="1"/>
    <x v="1"/>
    <x v="0"/>
    <n v="4.9005000000000001"/>
  </r>
  <r>
    <s v="SGS-87525-238"/>
    <x v="451"/>
    <x v="536"/>
    <s v="E-D-1"/>
    <n v="5"/>
    <x v="536"/>
    <s v="rdonetg6@oakley.com"/>
    <x v="0"/>
    <s v="Exc"/>
    <s v="D"/>
    <x v="0"/>
    <n v="12.15"/>
    <n v="60.75"/>
    <x v="1"/>
    <x v="2"/>
    <x v="1"/>
    <n v="6.6825000000000001"/>
  </r>
  <r>
    <s v="GQR-12490-152"/>
    <x v="83"/>
    <x v="537"/>
    <s v="R-L-0.2"/>
    <n v="1"/>
    <x v="537"/>
    <s v="sgaweng7@creativecommons.org"/>
    <x v="0"/>
    <s v="Rob"/>
    <s v="L"/>
    <x v="3"/>
    <n v="3.5849999999999995"/>
    <n v="3.5849999999999995"/>
    <x v="0"/>
    <x v="1"/>
    <x v="0"/>
    <n v="0.21509999999999996"/>
  </r>
  <r>
    <s v="UOJ-28238-299"/>
    <x v="452"/>
    <x v="538"/>
    <s v="R-L-0.2"/>
    <n v="6"/>
    <x v="538"/>
    <s v="rreadieg8@guardian.co.uk"/>
    <x v="0"/>
    <s v="Rob"/>
    <s v="L"/>
    <x v="3"/>
    <n v="3.5849999999999995"/>
    <n v="21.509999999999998"/>
    <x v="0"/>
    <x v="1"/>
    <x v="1"/>
    <n v="1.2905999999999997"/>
  </r>
  <r>
    <s v="ETD-58130-674"/>
    <x v="453"/>
    <x v="539"/>
    <s v="E-M-0.5"/>
    <n v="2"/>
    <x v="539"/>
    <s v="cverissimogh@theglobeandmail.com"/>
    <x v="2"/>
    <s v="Exc"/>
    <s v="M"/>
    <x v="1"/>
    <n v="8.25"/>
    <n v="16.5"/>
    <x v="1"/>
    <x v="0"/>
    <x v="0"/>
    <n v="1.8149999999999999"/>
  </r>
  <r>
    <s v="UPF-60123-025"/>
    <x v="454"/>
    <x v="540"/>
    <s v="R-L-2.5"/>
    <n v="3"/>
    <x v="540"/>
    <s v=""/>
    <x v="0"/>
    <s v="Rob"/>
    <s v="L"/>
    <x v="2"/>
    <n v="27.484999999999996"/>
    <n v="82.454999999999984"/>
    <x v="0"/>
    <x v="1"/>
    <x v="1"/>
    <n v="4.9472999999999994"/>
  </r>
  <r>
    <s v="NQS-01613-687"/>
    <x v="455"/>
    <x v="541"/>
    <s v="L-D-0.5"/>
    <n v="1"/>
    <x v="541"/>
    <s v="bogb@elpais.com"/>
    <x v="0"/>
    <s v="Lib"/>
    <s v="D"/>
    <x v="1"/>
    <n v="7.77"/>
    <n v="7.77"/>
    <x v="3"/>
    <x v="2"/>
    <x v="0"/>
    <n v="1.0101"/>
  </r>
  <r>
    <s v="MGH-36050-573"/>
    <x v="456"/>
    <x v="542"/>
    <s v="R-M-0.5"/>
    <n v="2"/>
    <x v="542"/>
    <s v="vstansburygc@unblog.fr"/>
    <x v="0"/>
    <s v="Rob"/>
    <s v="M"/>
    <x v="1"/>
    <n v="5.97"/>
    <n v="11.94"/>
    <x v="0"/>
    <x v="0"/>
    <x v="0"/>
    <n v="0.71639999999999993"/>
  </r>
  <r>
    <s v="UVF-59322-459"/>
    <x v="373"/>
    <x v="543"/>
    <s v="E-L-2.5"/>
    <n v="6"/>
    <x v="543"/>
    <s v="dheinonengd@printfriendly.com"/>
    <x v="0"/>
    <s v="Exc"/>
    <s v="L"/>
    <x v="2"/>
    <n v="34.154999999999994"/>
    <n v="204.92999999999995"/>
    <x v="1"/>
    <x v="1"/>
    <x v="1"/>
    <n v="22.542299999999997"/>
  </r>
  <r>
    <s v="VET-41158-896"/>
    <x v="457"/>
    <x v="544"/>
    <s v="E-M-2.5"/>
    <n v="2"/>
    <x v="544"/>
    <s v="jshentonge@google.com.hk"/>
    <x v="0"/>
    <s v="Exc"/>
    <s v="M"/>
    <x v="2"/>
    <n v="31.624999999999996"/>
    <n v="63.249999999999993"/>
    <x v="1"/>
    <x v="0"/>
    <x v="0"/>
    <n v="6.9574999999999996"/>
  </r>
  <r>
    <s v="XYL-52196-459"/>
    <x v="458"/>
    <x v="545"/>
    <s v="R-D-0.2"/>
    <n v="3"/>
    <x v="545"/>
    <s v="jwilkissongf@nba.com"/>
    <x v="0"/>
    <s v="Rob"/>
    <s v="D"/>
    <x v="3"/>
    <n v="2.6849999999999996"/>
    <n v="8.0549999999999997"/>
    <x v="0"/>
    <x v="2"/>
    <x v="0"/>
    <n v="0.4832999999999999"/>
  </r>
  <r>
    <s v="BPZ-51283-916"/>
    <x v="264"/>
    <x v="546"/>
    <s v="A-M-2.5"/>
    <n v="2"/>
    <x v="546"/>
    <s v=""/>
    <x v="0"/>
    <s v="Ara"/>
    <s v="M"/>
    <x v="2"/>
    <n v="25.874999999999996"/>
    <n v="51.749999999999993"/>
    <x v="2"/>
    <x v="0"/>
    <x v="1"/>
    <n v="4.6574999999999989"/>
  </r>
  <r>
    <s v="VQW-91903-926"/>
    <x v="459"/>
    <x v="539"/>
    <s v="E-D-2.5"/>
    <n v="1"/>
    <x v="539"/>
    <s v="cverissimogh@theglobeandmail.com"/>
    <x v="2"/>
    <s v="Exc"/>
    <s v="D"/>
    <x v="2"/>
    <n v="27.945"/>
    <n v="27.945"/>
    <x v="1"/>
    <x v="2"/>
    <x v="0"/>
    <n v="3.07395"/>
  </r>
  <r>
    <s v="OLF-77983-457"/>
    <x v="460"/>
    <x v="547"/>
    <s v="A-L-2.5"/>
    <n v="2"/>
    <x v="547"/>
    <s v="gstarcksgi@abc.net.au"/>
    <x v="0"/>
    <s v="Ara"/>
    <s v="L"/>
    <x v="2"/>
    <n v="29.784999999999997"/>
    <n v="59.569999999999993"/>
    <x v="2"/>
    <x v="1"/>
    <x v="1"/>
    <n v="5.3612999999999991"/>
  </r>
  <r>
    <s v="MVI-04946-827"/>
    <x v="461"/>
    <x v="548"/>
    <s v="E-L-1"/>
    <n v="1"/>
    <x v="548"/>
    <s v=""/>
    <x v="2"/>
    <s v="Exc"/>
    <s v="L"/>
    <x v="0"/>
    <n v="14.85"/>
    <n v="14.85"/>
    <x v="1"/>
    <x v="1"/>
    <x v="1"/>
    <n v="1.6335"/>
  </r>
  <r>
    <s v="UOG-94188-104"/>
    <x v="219"/>
    <x v="549"/>
    <s v="A-M-0.5"/>
    <n v="5"/>
    <x v="549"/>
    <s v="kscholardgk@sbwire.com"/>
    <x v="0"/>
    <s v="Ara"/>
    <s v="M"/>
    <x v="1"/>
    <n v="6.75"/>
    <n v="33.75"/>
    <x v="2"/>
    <x v="0"/>
    <x v="1"/>
    <n v="3.0374999999999996"/>
  </r>
  <r>
    <s v="DSN-15872-519"/>
    <x v="462"/>
    <x v="550"/>
    <s v="L-L-2.5"/>
    <n v="4"/>
    <x v="550"/>
    <s v="bkindleygl@wikimedia.org"/>
    <x v="0"/>
    <s v="Lib"/>
    <s v="L"/>
    <x v="2"/>
    <n v="36.454999999999998"/>
    <n v="145.82"/>
    <x v="3"/>
    <x v="1"/>
    <x v="0"/>
    <n v="18.956599999999998"/>
  </r>
  <r>
    <s v="OUQ-73954-002"/>
    <x v="463"/>
    <x v="551"/>
    <s v="R-M-0.2"/>
    <n v="4"/>
    <x v="551"/>
    <s v="khammettgm@dmoz.org"/>
    <x v="0"/>
    <s v="Rob"/>
    <s v="M"/>
    <x v="3"/>
    <n v="2.9849999999999999"/>
    <n v="11.94"/>
    <x v="0"/>
    <x v="0"/>
    <x v="0"/>
    <n v="0.71639999999999993"/>
  </r>
  <r>
    <s v="LGL-16843-667"/>
    <x v="464"/>
    <x v="552"/>
    <s v="A-D-0.2"/>
    <n v="4"/>
    <x v="552"/>
    <s v="ahulburtgn@fda.gov"/>
    <x v="0"/>
    <s v="Ara"/>
    <s v="D"/>
    <x v="3"/>
    <n v="2.9849999999999999"/>
    <n v="11.94"/>
    <x v="2"/>
    <x v="2"/>
    <x v="0"/>
    <n v="1.0746"/>
  </r>
  <r>
    <s v="TCC-89722-031"/>
    <x v="465"/>
    <x v="553"/>
    <s v="L-D-0.5"/>
    <n v="1"/>
    <x v="553"/>
    <s v="plauritzengo@photobucket.com"/>
    <x v="0"/>
    <s v="Lib"/>
    <s v="D"/>
    <x v="1"/>
    <n v="7.77"/>
    <n v="7.77"/>
    <x v="3"/>
    <x v="2"/>
    <x v="1"/>
    <n v="1.0101"/>
  </r>
  <r>
    <s v="TRA-79507-007"/>
    <x v="466"/>
    <x v="554"/>
    <s v="R-L-2.5"/>
    <n v="4"/>
    <x v="554"/>
    <s v="aburgwingp@redcross.org"/>
    <x v="0"/>
    <s v="Rob"/>
    <s v="L"/>
    <x v="2"/>
    <n v="27.484999999999996"/>
    <n v="109.93999999999998"/>
    <x v="0"/>
    <x v="1"/>
    <x v="0"/>
    <n v="6.5963999999999992"/>
  </r>
  <r>
    <s v="MZJ-77284-941"/>
    <x v="467"/>
    <x v="555"/>
    <s v="E-L-0.2"/>
    <n v="5"/>
    <x v="555"/>
    <s v="erolingq@google.fr"/>
    <x v="0"/>
    <s v="Exc"/>
    <s v="L"/>
    <x v="3"/>
    <n v="4.4550000000000001"/>
    <n v="22.274999999999999"/>
    <x v="1"/>
    <x v="1"/>
    <x v="0"/>
    <n v="2.45025"/>
  </r>
  <r>
    <s v="AXN-57779-891"/>
    <x v="468"/>
    <x v="556"/>
    <s v="R-M-0.2"/>
    <n v="3"/>
    <x v="556"/>
    <s v="dfowlegr@epa.gov"/>
    <x v="0"/>
    <s v="Rob"/>
    <s v="M"/>
    <x v="3"/>
    <n v="2.9849999999999999"/>
    <n v="8.9550000000000001"/>
    <x v="0"/>
    <x v="0"/>
    <x v="1"/>
    <n v="0.53729999999999989"/>
  </r>
  <r>
    <s v="PJB-15659-994"/>
    <x v="469"/>
    <x v="557"/>
    <s v="L-D-2.5"/>
    <n v="4"/>
    <x v="557"/>
    <s v=""/>
    <x v="1"/>
    <s v="Lib"/>
    <s v="D"/>
    <x v="2"/>
    <n v="29.784999999999997"/>
    <n v="119.13999999999999"/>
    <x v="3"/>
    <x v="2"/>
    <x v="1"/>
    <n v="15.488199999999999"/>
  </r>
  <r>
    <s v="LTS-03470-353"/>
    <x v="470"/>
    <x v="558"/>
    <s v="A-L-2.5"/>
    <n v="5"/>
    <x v="558"/>
    <s v="wpowleslandgt@soundcloud.com"/>
    <x v="0"/>
    <s v="Ara"/>
    <s v="L"/>
    <x v="2"/>
    <n v="29.784999999999997"/>
    <n v="148.92499999999998"/>
    <x v="2"/>
    <x v="1"/>
    <x v="0"/>
    <n v="13.403249999999998"/>
  </r>
  <r>
    <s v="UMM-28497-689"/>
    <x v="471"/>
    <x v="539"/>
    <s v="L-L-2.5"/>
    <n v="3"/>
    <x v="539"/>
    <s v="cverissimogh@theglobeandmail.com"/>
    <x v="2"/>
    <s v="Lib"/>
    <s v="L"/>
    <x v="2"/>
    <n v="36.454999999999998"/>
    <n v="109.36499999999999"/>
    <x v="3"/>
    <x v="1"/>
    <x v="0"/>
    <n v="14.217449999999999"/>
  </r>
  <r>
    <s v="MJZ-93232-402"/>
    <x v="472"/>
    <x v="559"/>
    <s v="E-D-0.2"/>
    <n v="1"/>
    <x v="559"/>
    <s v="lellinghamgv@sciencedaily.com"/>
    <x v="0"/>
    <s v="Exc"/>
    <s v="D"/>
    <x v="3"/>
    <n v="3.645"/>
    <n v="3.645"/>
    <x v="1"/>
    <x v="2"/>
    <x v="0"/>
    <n v="0.40095000000000003"/>
  </r>
  <r>
    <s v="UHW-74617-126"/>
    <x v="173"/>
    <x v="560"/>
    <s v="E-D-2.5"/>
    <n v="2"/>
    <x v="560"/>
    <s v=""/>
    <x v="0"/>
    <s v="Exc"/>
    <s v="D"/>
    <x v="2"/>
    <n v="27.945"/>
    <n v="55.89"/>
    <x v="1"/>
    <x v="2"/>
    <x v="1"/>
    <n v="6.1478999999999999"/>
  </r>
  <r>
    <s v="RIK-61730-794"/>
    <x v="473"/>
    <x v="561"/>
    <s v="L-M-0.2"/>
    <n v="6"/>
    <x v="561"/>
    <s v="afendtgx@forbes.com"/>
    <x v="0"/>
    <s v="Lib"/>
    <s v="M"/>
    <x v="3"/>
    <n v="4.3650000000000002"/>
    <n v="26.19"/>
    <x v="3"/>
    <x v="0"/>
    <x v="0"/>
    <n v="3.4047000000000001"/>
  </r>
  <r>
    <s v="IDJ-55379-750"/>
    <x v="474"/>
    <x v="562"/>
    <s v="R-M-1"/>
    <n v="4"/>
    <x v="562"/>
    <s v="acleyburngy@lycos.com"/>
    <x v="0"/>
    <s v="Rob"/>
    <s v="M"/>
    <x v="0"/>
    <n v="9.9499999999999993"/>
    <n v="39.799999999999997"/>
    <x v="0"/>
    <x v="0"/>
    <x v="1"/>
    <n v="2.3879999999999999"/>
  </r>
  <r>
    <s v="OHX-11953-965"/>
    <x v="475"/>
    <x v="563"/>
    <s v="E-L-2.5"/>
    <n v="2"/>
    <x v="563"/>
    <s v="tcastiglionegz@xing.com"/>
    <x v="0"/>
    <s v="Exc"/>
    <s v="L"/>
    <x v="2"/>
    <n v="34.154999999999994"/>
    <n v="68.309999999999988"/>
    <x v="1"/>
    <x v="1"/>
    <x v="1"/>
    <n v="7.5140999999999991"/>
  </r>
  <r>
    <s v="TVV-42245-088"/>
    <x v="476"/>
    <x v="564"/>
    <s v="A-M-0.2"/>
    <n v="4"/>
    <x v="564"/>
    <s v=""/>
    <x v="1"/>
    <s v="Ara"/>
    <s v="M"/>
    <x v="3"/>
    <n v="3.375"/>
    <n v="13.5"/>
    <x v="2"/>
    <x v="0"/>
    <x v="1"/>
    <n v="1.2149999999999999"/>
  </r>
  <r>
    <s v="DYP-74337-787"/>
    <x v="431"/>
    <x v="565"/>
    <s v="R-M-0.5"/>
    <n v="1"/>
    <x v="565"/>
    <s v=""/>
    <x v="0"/>
    <s v="Rob"/>
    <s v="M"/>
    <x v="1"/>
    <n v="5.97"/>
    <n v="5.97"/>
    <x v="0"/>
    <x v="0"/>
    <x v="1"/>
    <n v="0.35819999999999996"/>
  </r>
  <r>
    <s v="OKA-93124-100"/>
    <x v="477"/>
    <x v="539"/>
    <s v="R-M-0.5"/>
    <n v="5"/>
    <x v="539"/>
    <s v="cverissimogh@theglobeandmail.com"/>
    <x v="2"/>
    <s v="Rob"/>
    <s v="M"/>
    <x v="1"/>
    <n v="5.97"/>
    <n v="29.849999999999998"/>
    <x v="0"/>
    <x v="0"/>
    <x v="0"/>
    <n v="1.7909999999999999"/>
  </r>
  <r>
    <s v="IXW-20780-268"/>
    <x v="478"/>
    <x v="566"/>
    <s v="L-L-2.5"/>
    <n v="2"/>
    <x v="566"/>
    <s v="scouronneh3@mozilla.org"/>
    <x v="0"/>
    <s v="Lib"/>
    <s v="L"/>
    <x v="2"/>
    <n v="36.454999999999998"/>
    <n v="72.91"/>
    <x v="3"/>
    <x v="1"/>
    <x v="0"/>
    <n v="9.4782999999999991"/>
  </r>
  <r>
    <s v="NGG-24006-937"/>
    <x v="45"/>
    <x v="567"/>
    <s v="E-M-2.5"/>
    <n v="4"/>
    <x v="567"/>
    <s v="lflippellih4@github.io"/>
    <x v="2"/>
    <s v="Exc"/>
    <s v="M"/>
    <x v="2"/>
    <n v="31.624999999999996"/>
    <n v="126.49999999999999"/>
    <x v="1"/>
    <x v="0"/>
    <x v="1"/>
    <n v="13.914999999999999"/>
  </r>
  <r>
    <s v="JZC-31180-557"/>
    <x v="444"/>
    <x v="568"/>
    <s v="L-M-2.5"/>
    <n v="1"/>
    <x v="568"/>
    <s v="relizabethh5@live.com"/>
    <x v="0"/>
    <s v="Lib"/>
    <s v="M"/>
    <x v="2"/>
    <n v="33.464999999999996"/>
    <n v="33.464999999999996"/>
    <x v="3"/>
    <x v="0"/>
    <x v="1"/>
    <n v="4.3504499999999995"/>
  </r>
  <r>
    <s v="ZMU-63715-204"/>
    <x v="479"/>
    <x v="569"/>
    <s v="E-D-1"/>
    <n v="6"/>
    <x v="569"/>
    <s v="irenhardh6@i2i.jp"/>
    <x v="0"/>
    <s v="Exc"/>
    <s v="D"/>
    <x v="0"/>
    <n v="12.15"/>
    <n v="72.900000000000006"/>
    <x v="1"/>
    <x v="2"/>
    <x v="0"/>
    <n v="8.0190000000000001"/>
  </r>
  <r>
    <s v="GND-08192-056"/>
    <x v="480"/>
    <x v="570"/>
    <s v="L-D-0.5"/>
    <n v="2"/>
    <x v="570"/>
    <s v="wrocheh7@xinhuanet.com"/>
    <x v="0"/>
    <s v="Lib"/>
    <s v="D"/>
    <x v="1"/>
    <n v="7.77"/>
    <n v="15.54"/>
    <x v="3"/>
    <x v="2"/>
    <x v="0"/>
    <n v="2.0202"/>
  </r>
  <r>
    <s v="RYY-38961-093"/>
    <x v="481"/>
    <x v="571"/>
    <s v="A-M-0.2"/>
    <n v="6"/>
    <x v="571"/>
    <s v="lalawayhh@weather.com"/>
    <x v="0"/>
    <s v="Ara"/>
    <s v="M"/>
    <x v="3"/>
    <n v="3.375"/>
    <n v="20.25"/>
    <x v="2"/>
    <x v="0"/>
    <x v="1"/>
    <n v="1.8224999999999998"/>
  </r>
  <r>
    <s v="CVA-64996-969"/>
    <x v="478"/>
    <x v="572"/>
    <s v="A-L-1"/>
    <n v="6"/>
    <x v="572"/>
    <s v="codgaardh9@nsw.gov.au"/>
    <x v="0"/>
    <s v="Ara"/>
    <s v="L"/>
    <x v="0"/>
    <n v="12.95"/>
    <n v="77.699999999999989"/>
    <x v="2"/>
    <x v="1"/>
    <x v="1"/>
    <n v="6.9930000000000003"/>
  </r>
  <r>
    <s v="XTH-67276-442"/>
    <x v="482"/>
    <x v="573"/>
    <s v="L-M-2.5"/>
    <n v="4"/>
    <x v="573"/>
    <s v="bbyrdha@4shared.com"/>
    <x v="0"/>
    <s v="Lib"/>
    <s v="M"/>
    <x v="2"/>
    <n v="33.464999999999996"/>
    <n v="133.85999999999999"/>
    <x v="3"/>
    <x v="0"/>
    <x v="1"/>
    <n v="17.401799999999998"/>
  </r>
  <r>
    <s v="PVU-02950-470"/>
    <x v="353"/>
    <x v="574"/>
    <s v="E-D-1"/>
    <n v="1"/>
    <x v="574"/>
    <s v=""/>
    <x v="2"/>
    <s v="Exc"/>
    <s v="D"/>
    <x v="0"/>
    <n v="12.15"/>
    <n v="12.15"/>
    <x v="1"/>
    <x v="2"/>
    <x v="1"/>
    <n v="1.3365"/>
  </r>
  <r>
    <s v="XSN-26809-910"/>
    <x v="199"/>
    <x v="575"/>
    <s v="E-M-2.5"/>
    <n v="2"/>
    <x v="575"/>
    <s v="dchardinhc@nhs.uk"/>
    <x v="1"/>
    <s v="Exc"/>
    <s v="M"/>
    <x v="2"/>
    <n v="31.624999999999996"/>
    <n v="63.249999999999993"/>
    <x v="1"/>
    <x v="0"/>
    <x v="0"/>
    <n v="6.9574999999999996"/>
  </r>
  <r>
    <s v="UDN-88321-005"/>
    <x v="372"/>
    <x v="576"/>
    <s v="R-L-0.5"/>
    <n v="5"/>
    <x v="576"/>
    <s v="hradbonehd@newsvine.com"/>
    <x v="0"/>
    <s v="Rob"/>
    <s v="L"/>
    <x v="1"/>
    <n v="7.169999999999999"/>
    <n v="35.849999999999994"/>
    <x v="0"/>
    <x v="1"/>
    <x v="1"/>
    <n v="2.1509999999999998"/>
  </r>
  <r>
    <s v="EXP-21628-670"/>
    <x v="267"/>
    <x v="577"/>
    <s v="A-M-2.5"/>
    <n v="3"/>
    <x v="577"/>
    <s v="wbernthhe@miitbeian.gov.cn"/>
    <x v="0"/>
    <s v="Ara"/>
    <s v="M"/>
    <x v="2"/>
    <n v="25.874999999999996"/>
    <n v="77.624999999999986"/>
    <x v="2"/>
    <x v="0"/>
    <x v="1"/>
    <n v="6.9862499999999983"/>
  </r>
  <r>
    <s v="VGM-24161-361"/>
    <x v="480"/>
    <x v="578"/>
    <s v="E-M-2.5"/>
    <n v="2"/>
    <x v="578"/>
    <s v="bacarsonhf@cnn.com"/>
    <x v="0"/>
    <s v="Exc"/>
    <s v="M"/>
    <x v="2"/>
    <n v="31.624999999999996"/>
    <n v="63.249999999999993"/>
    <x v="1"/>
    <x v="0"/>
    <x v="0"/>
    <n v="6.9574999999999996"/>
  </r>
  <r>
    <s v="PKN-19556-918"/>
    <x v="483"/>
    <x v="579"/>
    <s v="E-L-0.2"/>
    <n v="6"/>
    <x v="579"/>
    <s v="fbrighamhg@blog.com"/>
    <x v="1"/>
    <s v="Exc"/>
    <s v="L"/>
    <x v="3"/>
    <n v="4.4550000000000001"/>
    <n v="26.73"/>
    <x v="1"/>
    <x v="1"/>
    <x v="0"/>
    <n v="2.9402999999999997"/>
  </r>
  <r>
    <s v="PKN-19556-918"/>
    <x v="483"/>
    <x v="579"/>
    <s v="L-D-0.5"/>
    <n v="4"/>
    <x v="579"/>
    <s v="fbrighamhg@blog.com"/>
    <x v="1"/>
    <s v="Lib"/>
    <s v="D"/>
    <x v="1"/>
    <n v="7.77"/>
    <n v="31.08"/>
    <x v="3"/>
    <x v="2"/>
    <x v="0"/>
    <n v="4.0404"/>
  </r>
  <r>
    <s v="PKN-19556-918"/>
    <x v="483"/>
    <x v="579"/>
    <s v="A-D-0.2"/>
    <n v="1"/>
    <x v="579"/>
    <s v="fbrighamhg@blog.com"/>
    <x v="1"/>
    <s v="Ara"/>
    <s v="D"/>
    <x v="3"/>
    <n v="2.9849999999999999"/>
    <n v="2.9849999999999999"/>
    <x v="2"/>
    <x v="2"/>
    <x v="0"/>
    <n v="0.26865"/>
  </r>
  <r>
    <s v="PKN-19556-918"/>
    <x v="483"/>
    <x v="579"/>
    <s v="R-D-2.5"/>
    <n v="5"/>
    <x v="579"/>
    <s v="fbrighamhg@blog.com"/>
    <x v="1"/>
    <s v="Rob"/>
    <s v="D"/>
    <x v="2"/>
    <n v="20.584999999999997"/>
    <n v="102.92499999999998"/>
    <x v="0"/>
    <x v="2"/>
    <x v="0"/>
    <n v="6.1754999999999995"/>
  </r>
  <r>
    <s v="DXQ-44537-297"/>
    <x v="484"/>
    <x v="580"/>
    <s v="E-L-0.5"/>
    <n v="4"/>
    <x v="580"/>
    <s v="myoxenhk@google.com"/>
    <x v="0"/>
    <s v="Exc"/>
    <s v="L"/>
    <x v="1"/>
    <n v="8.91"/>
    <n v="35.64"/>
    <x v="1"/>
    <x v="1"/>
    <x v="1"/>
    <n v="3.9203999999999999"/>
  </r>
  <r>
    <s v="BPC-54727-307"/>
    <x v="485"/>
    <x v="581"/>
    <s v="R-L-1"/>
    <n v="4"/>
    <x v="581"/>
    <s v="gmcgavinhl@histats.com"/>
    <x v="0"/>
    <s v="Rob"/>
    <s v="L"/>
    <x v="0"/>
    <n v="11.95"/>
    <n v="47.8"/>
    <x v="0"/>
    <x v="1"/>
    <x v="1"/>
    <n v="2.8679999999999999"/>
  </r>
  <r>
    <s v="KSH-47717-456"/>
    <x v="486"/>
    <x v="582"/>
    <s v="L-M-1"/>
    <n v="3"/>
    <x v="582"/>
    <s v="luttermarehm@engadget.com"/>
    <x v="0"/>
    <s v="Lib"/>
    <s v="M"/>
    <x v="0"/>
    <n v="14.55"/>
    <n v="43.650000000000006"/>
    <x v="3"/>
    <x v="0"/>
    <x v="1"/>
    <n v="5.6745000000000001"/>
  </r>
  <r>
    <s v="ANK-59436-446"/>
    <x v="487"/>
    <x v="583"/>
    <s v="E-L-0.5"/>
    <n v="4"/>
    <x v="583"/>
    <s v="edambrogiohn@techcrunch.com"/>
    <x v="0"/>
    <s v="Exc"/>
    <s v="L"/>
    <x v="1"/>
    <n v="8.91"/>
    <n v="35.64"/>
    <x v="1"/>
    <x v="1"/>
    <x v="0"/>
    <n v="3.9203999999999999"/>
  </r>
  <r>
    <s v="AYY-83051-752"/>
    <x v="488"/>
    <x v="584"/>
    <s v="L-L-1"/>
    <n v="6"/>
    <x v="584"/>
    <s v="cwinchcombeho@jiathis.com"/>
    <x v="0"/>
    <s v="Lib"/>
    <s v="L"/>
    <x v="0"/>
    <n v="15.85"/>
    <n v="95.1"/>
    <x v="3"/>
    <x v="1"/>
    <x v="0"/>
    <n v="12.363000000000001"/>
  </r>
  <r>
    <s v="CSW-59644-267"/>
    <x v="489"/>
    <x v="585"/>
    <s v="E-M-2.5"/>
    <n v="1"/>
    <x v="585"/>
    <s v="bpaumierhp@umn.edu"/>
    <x v="1"/>
    <s v="Exc"/>
    <s v="M"/>
    <x v="2"/>
    <n v="31.624999999999996"/>
    <n v="31.624999999999996"/>
    <x v="1"/>
    <x v="0"/>
    <x v="0"/>
    <n v="3.4787499999999998"/>
  </r>
  <r>
    <s v="ITY-92466-909"/>
    <x v="162"/>
    <x v="586"/>
    <s v="A-M-2.5"/>
    <n v="3"/>
    <x v="586"/>
    <s v=""/>
    <x v="1"/>
    <s v="Ara"/>
    <s v="M"/>
    <x v="2"/>
    <n v="25.874999999999996"/>
    <n v="77.624999999999986"/>
    <x v="2"/>
    <x v="0"/>
    <x v="0"/>
    <n v="6.9862499999999983"/>
  </r>
  <r>
    <s v="IGW-04801-466"/>
    <x v="490"/>
    <x v="587"/>
    <s v="L-D-0.2"/>
    <n v="1"/>
    <x v="587"/>
    <s v="jcapeyhr@bravesites.com"/>
    <x v="0"/>
    <s v="Lib"/>
    <s v="D"/>
    <x v="3"/>
    <n v="3.8849999999999998"/>
    <n v="3.8849999999999998"/>
    <x v="3"/>
    <x v="2"/>
    <x v="0"/>
    <n v="0.50505"/>
  </r>
  <r>
    <s v="LJN-34281-921"/>
    <x v="491"/>
    <x v="588"/>
    <s v="R-L-2.5"/>
    <n v="5"/>
    <x v="588"/>
    <s v="tmathonneti0@google.co.jp"/>
    <x v="0"/>
    <s v="Rob"/>
    <s v="L"/>
    <x v="2"/>
    <n v="27.484999999999996"/>
    <n v="137.42499999999998"/>
    <x v="0"/>
    <x v="1"/>
    <x v="1"/>
    <n v="8.2454999999999998"/>
  </r>
  <r>
    <s v="BWZ-46364-547"/>
    <x v="301"/>
    <x v="589"/>
    <s v="R-L-1"/>
    <n v="3"/>
    <x v="589"/>
    <s v="ybasillht@theguardian.com"/>
    <x v="0"/>
    <s v="Rob"/>
    <s v="L"/>
    <x v="0"/>
    <n v="11.95"/>
    <n v="35.849999999999994"/>
    <x v="0"/>
    <x v="1"/>
    <x v="0"/>
    <n v="2.1509999999999998"/>
  </r>
  <r>
    <s v="SBC-95710-706"/>
    <x v="194"/>
    <x v="590"/>
    <s v="E-M-0.2"/>
    <n v="2"/>
    <x v="590"/>
    <s v="mbaistowhu@i2i.jp"/>
    <x v="2"/>
    <s v="Exc"/>
    <s v="M"/>
    <x v="3"/>
    <n v="4.125"/>
    <n v="8.25"/>
    <x v="1"/>
    <x v="0"/>
    <x v="0"/>
    <n v="0.90749999999999997"/>
  </r>
  <r>
    <s v="WRN-55114-031"/>
    <x v="26"/>
    <x v="591"/>
    <s v="E-L-2.5"/>
    <n v="3"/>
    <x v="591"/>
    <s v="cpallanthv@typepad.com"/>
    <x v="0"/>
    <s v="Exc"/>
    <s v="L"/>
    <x v="2"/>
    <n v="34.154999999999994"/>
    <n v="102.46499999999997"/>
    <x v="1"/>
    <x v="1"/>
    <x v="0"/>
    <n v="11.271149999999999"/>
  </r>
  <r>
    <s v="TZU-64255-831"/>
    <x v="125"/>
    <x v="592"/>
    <s v="R-D-2.5"/>
    <n v="2"/>
    <x v="592"/>
    <s v=""/>
    <x v="0"/>
    <s v="Rob"/>
    <s v="D"/>
    <x v="2"/>
    <n v="20.584999999999997"/>
    <n v="41.169999999999995"/>
    <x v="0"/>
    <x v="2"/>
    <x v="1"/>
    <n v="2.4701999999999997"/>
  </r>
  <r>
    <s v="JVF-91003-729"/>
    <x v="492"/>
    <x v="593"/>
    <s v="A-D-2.5"/>
    <n v="3"/>
    <x v="593"/>
    <s v="dohx@redcross.org"/>
    <x v="0"/>
    <s v="Ara"/>
    <s v="D"/>
    <x v="2"/>
    <n v="22.884999999999998"/>
    <n v="68.655000000000001"/>
    <x v="2"/>
    <x v="2"/>
    <x v="0"/>
    <n v="6.1789499999999986"/>
  </r>
  <r>
    <s v="MVB-22135-665"/>
    <x v="462"/>
    <x v="594"/>
    <s v="A-D-1"/>
    <n v="1"/>
    <x v="594"/>
    <s v="drallinhy@howstuffworks.com"/>
    <x v="0"/>
    <s v="Ara"/>
    <s v="D"/>
    <x v="0"/>
    <n v="9.9499999999999993"/>
    <n v="9.9499999999999993"/>
    <x v="2"/>
    <x v="2"/>
    <x v="0"/>
    <n v="0.89549999999999985"/>
  </r>
  <r>
    <s v="CKS-47815-571"/>
    <x v="493"/>
    <x v="595"/>
    <s v="L-L-0.5"/>
    <n v="3"/>
    <x v="595"/>
    <s v="achillhz@epa.gov"/>
    <x v="2"/>
    <s v="Lib"/>
    <s v="L"/>
    <x v="1"/>
    <n v="9.51"/>
    <n v="28.53"/>
    <x v="3"/>
    <x v="1"/>
    <x v="0"/>
    <n v="3.7088999999999999"/>
  </r>
  <r>
    <s v="OAW-17338-101"/>
    <x v="494"/>
    <x v="588"/>
    <s v="R-D-0.2"/>
    <n v="6"/>
    <x v="588"/>
    <s v="tmathonneti0@google.co.jp"/>
    <x v="0"/>
    <s v="Rob"/>
    <s v="D"/>
    <x v="3"/>
    <n v="2.6849999999999996"/>
    <n v="16.11"/>
    <x v="0"/>
    <x v="2"/>
    <x v="1"/>
    <n v="0.96659999999999979"/>
  </r>
  <r>
    <s v="ALP-37623-536"/>
    <x v="495"/>
    <x v="596"/>
    <s v="L-L-1"/>
    <n v="6"/>
    <x v="596"/>
    <s v="cdenysi1@is.gd"/>
    <x v="2"/>
    <s v="Lib"/>
    <s v="L"/>
    <x v="0"/>
    <n v="15.85"/>
    <n v="95.1"/>
    <x v="3"/>
    <x v="1"/>
    <x v="1"/>
    <n v="12.363000000000001"/>
  </r>
  <r>
    <s v="WMU-87639-108"/>
    <x v="496"/>
    <x v="597"/>
    <s v="R-D-0.5"/>
    <n v="1"/>
    <x v="597"/>
    <s v="cstebbingsi2@drupal.org"/>
    <x v="0"/>
    <s v="Rob"/>
    <s v="D"/>
    <x v="1"/>
    <n v="5.3699999999999992"/>
    <n v="5.3699999999999992"/>
    <x v="0"/>
    <x v="2"/>
    <x v="0"/>
    <n v="0.32219999999999993"/>
  </r>
  <r>
    <s v="USN-44968-231"/>
    <x v="497"/>
    <x v="598"/>
    <s v="R-L-1"/>
    <n v="4"/>
    <x v="598"/>
    <s v=""/>
    <x v="0"/>
    <s v="Rob"/>
    <s v="L"/>
    <x v="0"/>
    <n v="11.95"/>
    <n v="47.8"/>
    <x v="0"/>
    <x v="1"/>
    <x v="1"/>
    <n v="2.8679999999999999"/>
  </r>
  <r>
    <s v="YZG-20575-451"/>
    <x v="498"/>
    <x v="599"/>
    <s v="L-L-1"/>
    <n v="4"/>
    <x v="599"/>
    <s v="rzywickii4@ifeng.com"/>
    <x v="1"/>
    <s v="Lib"/>
    <s v="L"/>
    <x v="0"/>
    <n v="15.85"/>
    <n v="63.4"/>
    <x v="3"/>
    <x v="1"/>
    <x v="1"/>
    <n v="8.2420000000000009"/>
  </r>
  <r>
    <s v="HTH-52867-812"/>
    <x v="382"/>
    <x v="600"/>
    <s v="A-M-2.5"/>
    <n v="4"/>
    <x v="600"/>
    <s v="aburgetti5@moonfruit.com"/>
    <x v="0"/>
    <s v="Ara"/>
    <s v="M"/>
    <x v="2"/>
    <n v="25.874999999999996"/>
    <n v="103.49999999999999"/>
    <x v="2"/>
    <x v="0"/>
    <x v="1"/>
    <n v="9.3149999999999977"/>
  </r>
  <r>
    <s v="FWU-44971-444"/>
    <x v="499"/>
    <x v="601"/>
    <s v="A-D-2.5"/>
    <n v="3"/>
    <x v="601"/>
    <s v="mmalloyi6@seattletimes.com"/>
    <x v="0"/>
    <s v="Ara"/>
    <s v="D"/>
    <x v="2"/>
    <n v="22.884999999999998"/>
    <n v="68.655000000000001"/>
    <x v="2"/>
    <x v="2"/>
    <x v="1"/>
    <n v="6.1789499999999986"/>
  </r>
  <r>
    <s v="EQI-82205-066"/>
    <x v="500"/>
    <x v="602"/>
    <s v="R-M-2.5"/>
    <n v="2"/>
    <x v="602"/>
    <s v="mmcparlandi7@w3.org"/>
    <x v="0"/>
    <s v="Rob"/>
    <s v="M"/>
    <x v="2"/>
    <n v="22.884999999999998"/>
    <n v="45.769999999999996"/>
    <x v="0"/>
    <x v="0"/>
    <x v="0"/>
    <n v="2.7461999999999995"/>
  </r>
  <r>
    <s v="NAR-00747-074"/>
    <x v="501"/>
    <x v="603"/>
    <s v="L-D-1"/>
    <n v="4"/>
    <x v="603"/>
    <s v="sjennaroyi8@purevolume.com"/>
    <x v="0"/>
    <s v="Lib"/>
    <s v="D"/>
    <x v="0"/>
    <n v="12.95"/>
    <n v="51.8"/>
    <x v="3"/>
    <x v="2"/>
    <x v="1"/>
    <n v="6.734"/>
  </r>
  <r>
    <s v="JYR-22052-185"/>
    <x v="502"/>
    <x v="604"/>
    <s v="A-M-0.5"/>
    <n v="2"/>
    <x v="604"/>
    <s v="wplacei9@wsj.com"/>
    <x v="0"/>
    <s v="Ara"/>
    <s v="M"/>
    <x v="1"/>
    <n v="6.75"/>
    <n v="13.5"/>
    <x v="2"/>
    <x v="0"/>
    <x v="0"/>
    <n v="1.2149999999999999"/>
  </r>
  <r>
    <s v="XKO-54097-932"/>
    <x v="503"/>
    <x v="605"/>
    <s v="E-M-0.5"/>
    <n v="3"/>
    <x v="605"/>
    <s v="jmillettik@addtoany.com"/>
    <x v="0"/>
    <s v="Exc"/>
    <s v="M"/>
    <x v="1"/>
    <n v="8.25"/>
    <n v="24.75"/>
    <x v="1"/>
    <x v="0"/>
    <x v="0"/>
    <n v="2.7225000000000001"/>
  </r>
  <r>
    <s v="HXA-72415-025"/>
    <x v="504"/>
    <x v="606"/>
    <s v="A-D-2.5"/>
    <n v="2"/>
    <x v="606"/>
    <s v="dgadsdenib@google.com.hk"/>
    <x v="1"/>
    <s v="Ara"/>
    <s v="D"/>
    <x v="2"/>
    <n v="22.884999999999998"/>
    <n v="45.769999999999996"/>
    <x v="2"/>
    <x v="2"/>
    <x v="0"/>
    <n v="4.1192999999999991"/>
  </r>
  <r>
    <s v="MJF-20065-335"/>
    <x v="497"/>
    <x v="607"/>
    <s v="E-L-0.5"/>
    <n v="6"/>
    <x v="607"/>
    <s v="vwakelinic@unesco.org"/>
    <x v="0"/>
    <s v="Exc"/>
    <s v="L"/>
    <x v="1"/>
    <n v="8.91"/>
    <n v="53.46"/>
    <x v="1"/>
    <x v="1"/>
    <x v="1"/>
    <n v="5.8805999999999994"/>
  </r>
  <r>
    <s v="GFI-83300-059"/>
    <x v="501"/>
    <x v="608"/>
    <s v="A-M-0.2"/>
    <n v="6"/>
    <x v="608"/>
    <s v="acampsallid@zimbio.com"/>
    <x v="0"/>
    <s v="Ara"/>
    <s v="M"/>
    <x v="3"/>
    <n v="3.375"/>
    <n v="20.25"/>
    <x v="2"/>
    <x v="0"/>
    <x v="0"/>
    <n v="1.8224999999999998"/>
  </r>
  <r>
    <s v="WJR-51493-682"/>
    <x v="1"/>
    <x v="609"/>
    <s v="L-D-2.5"/>
    <n v="5"/>
    <x v="609"/>
    <s v="smosebyie@stanford.edu"/>
    <x v="0"/>
    <s v="Lib"/>
    <s v="D"/>
    <x v="2"/>
    <n v="29.784999999999997"/>
    <n v="148.92499999999998"/>
    <x v="3"/>
    <x v="2"/>
    <x v="1"/>
    <n v="19.360250000000001"/>
  </r>
  <r>
    <s v="SHP-55648-472"/>
    <x v="505"/>
    <x v="610"/>
    <s v="A-M-1"/>
    <n v="6"/>
    <x v="610"/>
    <s v="cwassif@prweb.com"/>
    <x v="0"/>
    <s v="Ara"/>
    <s v="M"/>
    <x v="0"/>
    <n v="11.25"/>
    <n v="67.5"/>
    <x v="2"/>
    <x v="0"/>
    <x v="1"/>
    <n v="6.0749999999999993"/>
  </r>
  <r>
    <s v="HYR-03455-684"/>
    <x v="506"/>
    <x v="611"/>
    <s v="E-D-1"/>
    <n v="6"/>
    <x v="611"/>
    <s v="isjostromig@pbs.org"/>
    <x v="0"/>
    <s v="Exc"/>
    <s v="D"/>
    <x v="0"/>
    <n v="12.15"/>
    <n v="72.900000000000006"/>
    <x v="1"/>
    <x v="2"/>
    <x v="1"/>
    <n v="8.0190000000000001"/>
  </r>
  <r>
    <s v="HYR-03455-684"/>
    <x v="506"/>
    <x v="611"/>
    <s v="L-D-0.2"/>
    <n v="2"/>
    <x v="611"/>
    <s v="isjostromig@pbs.org"/>
    <x v="0"/>
    <s v="Lib"/>
    <s v="D"/>
    <x v="3"/>
    <n v="3.8849999999999998"/>
    <n v="7.77"/>
    <x v="3"/>
    <x v="2"/>
    <x v="1"/>
    <n v="1.0101"/>
  </r>
  <r>
    <s v="HUG-52766-375"/>
    <x v="507"/>
    <x v="612"/>
    <s v="A-D-2.5"/>
    <n v="4"/>
    <x v="612"/>
    <s v="jbranchettii@bravesites.com"/>
    <x v="0"/>
    <s v="Ara"/>
    <s v="D"/>
    <x v="2"/>
    <n v="22.884999999999998"/>
    <n v="91.539999999999992"/>
    <x v="2"/>
    <x v="2"/>
    <x v="1"/>
    <n v="8.2385999999999981"/>
  </r>
  <r>
    <s v="DAH-46595-917"/>
    <x v="508"/>
    <x v="613"/>
    <s v="A-D-1"/>
    <n v="6"/>
    <x v="613"/>
    <s v="nrudlandij@blogs.com"/>
    <x v="1"/>
    <s v="Ara"/>
    <s v="D"/>
    <x v="0"/>
    <n v="9.9499999999999993"/>
    <n v="59.699999999999996"/>
    <x v="2"/>
    <x v="2"/>
    <x v="1"/>
    <n v="5.3729999999999993"/>
  </r>
  <r>
    <s v="VEM-79839-466"/>
    <x v="509"/>
    <x v="605"/>
    <s v="R-L-2.5"/>
    <n v="5"/>
    <x v="605"/>
    <s v="jmillettik@addtoany.com"/>
    <x v="0"/>
    <s v="Rob"/>
    <s v="L"/>
    <x v="2"/>
    <n v="27.484999999999996"/>
    <n v="137.42499999999998"/>
    <x v="0"/>
    <x v="1"/>
    <x v="0"/>
    <n v="8.2454999999999998"/>
  </r>
  <r>
    <s v="OWH-11126-533"/>
    <x v="131"/>
    <x v="614"/>
    <s v="L-M-2.5"/>
    <n v="2"/>
    <x v="614"/>
    <s v="ftourryil@google.de"/>
    <x v="0"/>
    <s v="Lib"/>
    <s v="M"/>
    <x v="2"/>
    <n v="33.464999999999996"/>
    <n v="66.929999999999993"/>
    <x v="3"/>
    <x v="0"/>
    <x v="1"/>
    <n v="8.700899999999999"/>
  </r>
  <r>
    <s v="UMT-26130-151"/>
    <x v="510"/>
    <x v="615"/>
    <s v="L-M-0.2"/>
    <n v="3"/>
    <x v="615"/>
    <s v="cweatherallim@toplist.cz"/>
    <x v="0"/>
    <s v="Lib"/>
    <s v="M"/>
    <x v="3"/>
    <n v="4.3650000000000002"/>
    <n v="13.095000000000001"/>
    <x v="3"/>
    <x v="0"/>
    <x v="0"/>
    <n v="1.70235"/>
  </r>
  <r>
    <s v="JKA-27899-806"/>
    <x v="511"/>
    <x v="616"/>
    <s v="R-L-1"/>
    <n v="5"/>
    <x v="616"/>
    <s v="gheindrickin@usda.gov"/>
    <x v="0"/>
    <s v="Rob"/>
    <s v="L"/>
    <x v="0"/>
    <n v="11.95"/>
    <n v="59.75"/>
    <x v="0"/>
    <x v="1"/>
    <x v="1"/>
    <n v="3.585"/>
  </r>
  <r>
    <s v="ULU-07744-724"/>
    <x v="512"/>
    <x v="617"/>
    <s v="L-M-0.5"/>
    <n v="5"/>
    <x v="617"/>
    <s v="limasonio@discuz.net"/>
    <x v="0"/>
    <s v="Lib"/>
    <s v="M"/>
    <x v="1"/>
    <n v="8.73"/>
    <n v="43.650000000000006"/>
    <x v="3"/>
    <x v="0"/>
    <x v="0"/>
    <n v="5.6745000000000001"/>
  </r>
  <r>
    <s v="NOM-56457-507"/>
    <x v="513"/>
    <x v="618"/>
    <s v="E-M-1"/>
    <n v="6"/>
    <x v="618"/>
    <s v="hsaillip@odnoklassniki.ru"/>
    <x v="0"/>
    <s v="Exc"/>
    <s v="M"/>
    <x v="0"/>
    <n v="13.75"/>
    <n v="82.5"/>
    <x v="1"/>
    <x v="0"/>
    <x v="0"/>
    <n v="9.0749999999999993"/>
  </r>
  <r>
    <s v="NZN-71683-705"/>
    <x v="514"/>
    <x v="619"/>
    <s v="A-L-2.5"/>
    <n v="6"/>
    <x v="619"/>
    <s v="hlarvoriq@last.fm"/>
    <x v="0"/>
    <s v="Ara"/>
    <s v="L"/>
    <x v="2"/>
    <n v="29.784999999999997"/>
    <n v="178.70999999999998"/>
    <x v="2"/>
    <x v="1"/>
    <x v="0"/>
    <n v="16.083899999999996"/>
  </r>
  <r>
    <s v="WMA-34232-850"/>
    <x v="7"/>
    <x v="620"/>
    <s v="L-D-2.5"/>
    <n v="4"/>
    <x v="620"/>
    <s v=""/>
    <x v="0"/>
    <s v="Lib"/>
    <s v="D"/>
    <x v="2"/>
    <n v="29.784999999999997"/>
    <n v="119.13999999999999"/>
    <x v="3"/>
    <x v="2"/>
    <x v="0"/>
    <n v="15.488199999999999"/>
  </r>
  <r>
    <s v="EZL-27919-704"/>
    <x v="481"/>
    <x v="621"/>
    <s v="L-L-0.5"/>
    <n v="5"/>
    <x v="621"/>
    <s v=""/>
    <x v="0"/>
    <s v="Lib"/>
    <s v="L"/>
    <x v="1"/>
    <n v="9.51"/>
    <n v="47.55"/>
    <x v="3"/>
    <x v="1"/>
    <x v="1"/>
    <n v="6.1814999999999998"/>
  </r>
  <r>
    <s v="ZYU-11345-774"/>
    <x v="515"/>
    <x v="622"/>
    <s v="L-M-0.5"/>
    <n v="5"/>
    <x v="622"/>
    <s v="cpenwardenit@mlb.com"/>
    <x v="1"/>
    <s v="Lib"/>
    <s v="M"/>
    <x v="1"/>
    <n v="8.73"/>
    <n v="43.650000000000006"/>
    <x v="3"/>
    <x v="0"/>
    <x v="1"/>
    <n v="5.6745000000000001"/>
  </r>
  <r>
    <s v="CPW-34587-459"/>
    <x v="516"/>
    <x v="623"/>
    <s v="A-L-2.5"/>
    <n v="6"/>
    <x v="623"/>
    <s v="mmiddisiu@dmoz.org"/>
    <x v="0"/>
    <s v="Ara"/>
    <s v="L"/>
    <x v="2"/>
    <n v="29.784999999999997"/>
    <n v="178.70999999999998"/>
    <x v="2"/>
    <x v="1"/>
    <x v="0"/>
    <n v="16.083899999999996"/>
  </r>
  <r>
    <s v="NQZ-82067-394"/>
    <x v="517"/>
    <x v="624"/>
    <s v="R-L-2.5"/>
    <n v="1"/>
    <x v="624"/>
    <s v="avairowiv@studiopress.com"/>
    <x v="2"/>
    <s v="Rob"/>
    <s v="L"/>
    <x v="2"/>
    <n v="27.484999999999996"/>
    <n v="27.484999999999996"/>
    <x v="0"/>
    <x v="1"/>
    <x v="1"/>
    <n v="1.6490999999999998"/>
  </r>
  <r>
    <s v="JBW-95055-851"/>
    <x v="518"/>
    <x v="625"/>
    <s v="A-M-1"/>
    <n v="5"/>
    <x v="625"/>
    <s v="agoldieiw@goo.gl"/>
    <x v="0"/>
    <s v="Ara"/>
    <s v="M"/>
    <x v="0"/>
    <n v="11.25"/>
    <n v="56.25"/>
    <x v="2"/>
    <x v="0"/>
    <x v="1"/>
    <n v="5.0625"/>
  </r>
  <r>
    <s v="AHY-20324-088"/>
    <x v="519"/>
    <x v="626"/>
    <s v="L-L-0.2"/>
    <n v="2"/>
    <x v="626"/>
    <s v="nayrisix@t-online.de"/>
    <x v="2"/>
    <s v="Lib"/>
    <s v="L"/>
    <x v="3"/>
    <n v="4.7549999999999999"/>
    <n v="9.51"/>
    <x v="3"/>
    <x v="1"/>
    <x v="0"/>
    <n v="1.2363"/>
  </r>
  <r>
    <s v="ZSL-66684-103"/>
    <x v="520"/>
    <x v="627"/>
    <s v="E-M-0.2"/>
    <n v="2"/>
    <x v="627"/>
    <s v="lbenediktovichiy@wunderground.com"/>
    <x v="0"/>
    <s v="Exc"/>
    <s v="M"/>
    <x v="3"/>
    <n v="4.125"/>
    <n v="8.25"/>
    <x v="1"/>
    <x v="0"/>
    <x v="0"/>
    <n v="0.90749999999999997"/>
  </r>
  <r>
    <s v="WNE-73911-475"/>
    <x v="521"/>
    <x v="628"/>
    <s v="L-D-0.5"/>
    <n v="6"/>
    <x v="628"/>
    <s v="tjacobovitziz@cbc.ca"/>
    <x v="0"/>
    <s v="Lib"/>
    <s v="D"/>
    <x v="1"/>
    <n v="7.77"/>
    <n v="46.62"/>
    <x v="3"/>
    <x v="2"/>
    <x v="1"/>
    <n v="6.0606"/>
  </r>
  <r>
    <s v="EZB-68383-559"/>
    <x v="418"/>
    <x v="629"/>
    <s v="R-L-1"/>
    <n v="6"/>
    <x v="629"/>
    <s v=""/>
    <x v="0"/>
    <s v="Rob"/>
    <s v="L"/>
    <x v="0"/>
    <n v="11.95"/>
    <n v="71.699999999999989"/>
    <x v="0"/>
    <x v="1"/>
    <x v="1"/>
    <n v="4.3019999999999996"/>
  </r>
  <r>
    <s v="OVO-01283-090"/>
    <x v="122"/>
    <x v="630"/>
    <s v="L-L-2.5"/>
    <n v="2"/>
    <x v="630"/>
    <s v="jdruittj1@feedburner.com"/>
    <x v="0"/>
    <s v="Lib"/>
    <s v="L"/>
    <x v="2"/>
    <n v="36.454999999999998"/>
    <n v="72.91"/>
    <x v="3"/>
    <x v="1"/>
    <x v="0"/>
    <n v="9.4782999999999991"/>
  </r>
  <r>
    <s v="TXH-78646-919"/>
    <x v="423"/>
    <x v="631"/>
    <s v="R-D-0.2"/>
    <n v="3"/>
    <x v="631"/>
    <s v="dshortallj2@wikipedia.org"/>
    <x v="0"/>
    <s v="Rob"/>
    <s v="D"/>
    <x v="3"/>
    <n v="2.6849999999999996"/>
    <n v="8.0549999999999997"/>
    <x v="0"/>
    <x v="2"/>
    <x v="0"/>
    <n v="0.4832999999999999"/>
  </r>
  <r>
    <s v="CYZ-37122-164"/>
    <x v="463"/>
    <x v="632"/>
    <s v="E-M-0.5"/>
    <n v="2"/>
    <x v="632"/>
    <s v="wcottierj3@cafepress.com"/>
    <x v="0"/>
    <s v="Exc"/>
    <s v="M"/>
    <x v="1"/>
    <n v="8.25"/>
    <n v="16.5"/>
    <x v="1"/>
    <x v="0"/>
    <x v="1"/>
    <n v="1.8149999999999999"/>
  </r>
  <r>
    <s v="AGQ-06534-750"/>
    <x v="273"/>
    <x v="633"/>
    <s v="A-L-1"/>
    <n v="5"/>
    <x v="633"/>
    <s v="kgrinstedj4@google.com.br"/>
    <x v="1"/>
    <s v="Ara"/>
    <s v="L"/>
    <x v="0"/>
    <n v="12.95"/>
    <n v="64.75"/>
    <x v="2"/>
    <x v="1"/>
    <x v="1"/>
    <n v="5.8274999999999997"/>
  </r>
  <r>
    <s v="QVL-32245-818"/>
    <x v="522"/>
    <x v="634"/>
    <s v="A-M-0.5"/>
    <n v="5"/>
    <x v="634"/>
    <s v="dskynerj5@hubpages.com"/>
    <x v="0"/>
    <s v="Ara"/>
    <s v="M"/>
    <x v="1"/>
    <n v="6.75"/>
    <n v="33.75"/>
    <x v="2"/>
    <x v="0"/>
    <x v="1"/>
    <n v="3.0374999999999996"/>
  </r>
  <r>
    <s v="LTD-96842-834"/>
    <x v="523"/>
    <x v="635"/>
    <s v="L-D-2.5"/>
    <n v="6"/>
    <x v="635"/>
    <s v=""/>
    <x v="0"/>
    <s v="Lib"/>
    <s v="D"/>
    <x v="2"/>
    <n v="29.784999999999997"/>
    <n v="178.70999999999998"/>
    <x v="3"/>
    <x v="2"/>
    <x v="1"/>
    <n v="23.232299999999999"/>
  </r>
  <r>
    <s v="SEC-91807-425"/>
    <x v="260"/>
    <x v="636"/>
    <s v="A-M-1"/>
    <n v="2"/>
    <x v="636"/>
    <s v="jdymokeje@prnewswire.com"/>
    <x v="1"/>
    <s v="Ara"/>
    <s v="M"/>
    <x v="0"/>
    <n v="11.25"/>
    <n v="22.5"/>
    <x v="2"/>
    <x v="0"/>
    <x v="1"/>
    <n v="2.0249999999999999"/>
  </r>
  <r>
    <s v="MHM-44857-599"/>
    <x v="331"/>
    <x v="637"/>
    <s v="L-D-1"/>
    <n v="1"/>
    <x v="637"/>
    <s v="aweinmannj8@shinystat.com"/>
    <x v="0"/>
    <s v="Lib"/>
    <s v="D"/>
    <x v="0"/>
    <n v="12.95"/>
    <n v="12.95"/>
    <x v="3"/>
    <x v="2"/>
    <x v="1"/>
    <n v="1.6835"/>
  </r>
  <r>
    <s v="KGC-95046-911"/>
    <x v="524"/>
    <x v="638"/>
    <s v="A-M-2.5"/>
    <n v="2"/>
    <x v="638"/>
    <s v="eandriessenj9@europa.eu"/>
    <x v="0"/>
    <s v="Ara"/>
    <s v="M"/>
    <x v="2"/>
    <n v="25.874999999999996"/>
    <n v="51.749999999999993"/>
    <x v="2"/>
    <x v="0"/>
    <x v="0"/>
    <n v="4.6574999999999989"/>
  </r>
  <r>
    <s v="RZC-75150-413"/>
    <x v="525"/>
    <x v="639"/>
    <s v="E-D-0.5"/>
    <n v="5"/>
    <x v="639"/>
    <s v="rdeaconsonja@archive.org"/>
    <x v="0"/>
    <s v="Exc"/>
    <s v="D"/>
    <x v="1"/>
    <n v="7.29"/>
    <n v="36.450000000000003"/>
    <x v="1"/>
    <x v="2"/>
    <x v="1"/>
    <n v="4.0095000000000001"/>
  </r>
  <r>
    <s v="EYH-88288-452"/>
    <x v="526"/>
    <x v="640"/>
    <s v="L-L-2.5"/>
    <n v="5"/>
    <x v="640"/>
    <s v="dcarojb@twitter.com"/>
    <x v="0"/>
    <s v="Lib"/>
    <s v="L"/>
    <x v="2"/>
    <n v="36.454999999999998"/>
    <n v="182.27499999999998"/>
    <x v="3"/>
    <x v="1"/>
    <x v="0"/>
    <n v="23.695749999999997"/>
  </r>
  <r>
    <s v="NYQ-24237-772"/>
    <x v="104"/>
    <x v="641"/>
    <s v="L-D-0.5"/>
    <n v="4"/>
    <x v="641"/>
    <s v="jbluckjc@imageshack.us"/>
    <x v="0"/>
    <s v="Lib"/>
    <s v="D"/>
    <x v="1"/>
    <n v="7.77"/>
    <n v="31.08"/>
    <x v="3"/>
    <x v="2"/>
    <x v="1"/>
    <n v="4.0404"/>
  </r>
  <r>
    <s v="WKB-21680-566"/>
    <x v="491"/>
    <x v="642"/>
    <s v="A-M-0.5"/>
    <n v="3"/>
    <x v="642"/>
    <s v=""/>
    <x v="1"/>
    <s v="Ara"/>
    <s v="M"/>
    <x v="1"/>
    <n v="6.75"/>
    <n v="20.25"/>
    <x v="2"/>
    <x v="0"/>
    <x v="1"/>
    <n v="1.8224999999999998"/>
  </r>
  <r>
    <s v="THE-61147-027"/>
    <x v="157"/>
    <x v="636"/>
    <s v="L-D-1"/>
    <n v="2"/>
    <x v="636"/>
    <s v="jdymokeje@prnewswire.com"/>
    <x v="1"/>
    <s v="Lib"/>
    <s v="D"/>
    <x v="0"/>
    <n v="12.95"/>
    <n v="25.9"/>
    <x v="3"/>
    <x v="2"/>
    <x v="1"/>
    <n v="3.367"/>
  </r>
  <r>
    <s v="PTY-86420-119"/>
    <x v="527"/>
    <x v="643"/>
    <s v="A-D-0.5"/>
    <n v="4"/>
    <x v="643"/>
    <s v="otadmanjf@ft.com"/>
    <x v="0"/>
    <s v="Ara"/>
    <s v="D"/>
    <x v="1"/>
    <n v="5.97"/>
    <n v="23.88"/>
    <x v="2"/>
    <x v="2"/>
    <x v="0"/>
    <n v="2.1492"/>
  </r>
  <r>
    <s v="QHL-27188-431"/>
    <x v="528"/>
    <x v="644"/>
    <s v="L-L-0.5"/>
    <n v="2"/>
    <x v="644"/>
    <s v="bguddejg@dailymotion.com"/>
    <x v="0"/>
    <s v="Lib"/>
    <s v="L"/>
    <x v="1"/>
    <n v="9.51"/>
    <n v="19.02"/>
    <x v="3"/>
    <x v="1"/>
    <x v="1"/>
    <n v="2.4725999999999999"/>
  </r>
  <r>
    <s v="MIS-54381-047"/>
    <x v="99"/>
    <x v="645"/>
    <s v="A-D-0.5"/>
    <n v="5"/>
    <x v="645"/>
    <s v="nsictornesjh@buzzfeed.com"/>
    <x v="1"/>
    <s v="Ara"/>
    <s v="D"/>
    <x v="1"/>
    <n v="5.97"/>
    <n v="29.849999999999998"/>
    <x v="2"/>
    <x v="2"/>
    <x v="0"/>
    <n v="2.6865000000000001"/>
  </r>
  <r>
    <s v="TBB-29780-459"/>
    <x v="529"/>
    <x v="646"/>
    <s v="A-L-0.5"/>
    <n v="1"/>
    <x v="646"/>
    <s v="vdunningji@independent.co.uk"/>
    <x v="0"/>
    <s v="Ara"/>
    <s v="L"/>
    <x v="1"/>
    <n v="7.77"/>
    <n v="7.77"/>
    <x v="2"/>
    <x v="1"/>
    <x v="0"/>
    <n v="0.69929999999999992"/>
  </r>
  <r>
    <s v="QLC-52637-305"/>
    <x v="530"/>
    <x v="647"/>
    <s v="L-D-2.5"/>
    <n v="4"/>
    <x v="647"/>
    <s v=""/>
    <x v="1"/>
    <s v="Lib"/>
    <s v="D"/>
    <x v="2"/>
    <n v="29.784999999999997"/>
    <n v="119.13999999999999"/>
    <x v="3"/>
    <x v="2"/>
    <x v="0"/>
    <n v="15.488199999999999"/>
  </r>
  <r>
    <s v="CWT-27056-328"/>
    <x v="531"/>
    <x v="648"/>
    <s v="E-D-0.2"/>
    <n v="6"/>
    <x v="648"/>
    <s v=""/>
    <x v="0"/>
    <s v="Exc"/>
    <s v="D"/>
    <x v="3"/>
    <n v="3.645"/>
    <n v="21.87"/>
    <x v="1"/>
    <x v="2"/>
    <x v="0"/>
    <n v="2.4057000000000004"/>
  </r>
  <r>
    <s v="ASS-05878-128"/>
    <x v="210"/>
    <x v="649"/>
    <s v="E-L-0.5"/>
    <n v="2"/>
    <x v="649"/>
    <s v="sgehringjl@gnu.org"/>
    <x v="0"/>
    <s v="Exc"/>
    <s v="L"/>
    <x v="1"/>
    <n v="8.91"/>
    <n v="17.82"/>
    <x v="1"/>
    <x v="1"/>
    <x v="1"/>
    <n v="1.9601999999999999"/>
  </r>
  <r>
    <s v="EGK-03027-418"/>
    <x v="532"/>
    <x v="650"/>
    <s v="E-M-0.2"/>
    <n v="3"/>
    <x v="650"/>
    <s v="bfallowesjm@purevolume.com"/>
    <x v="0"/>
    <s v="Exc"/>
    <s v="M"/>
    <x v="3"/>
    <n v="4.125"/>
    <n v="12.375"/>
    <x v="1"/>
    <x v="0"/>
    <x v="1"/>
    <n v="1.3612500000000001"/>
  </r>
  <r>
    <s v="KCY-61732-849"/>
    <x v="533"/>
    <x v="651"/>
    <s v="L-D-1"/>
    <n v="2"/>
    <x v="651"/>
    <s v=""/>
    <x v="1"/>
    <s v="Lib"/>
    <s v="D"/>
    <x v="0"/>
    <n v="12.95"/>
    <n v="25.9"/>
    <x v="3"/>
    <x v="2"/>
    <x v="1"/>
    <n v="3.367"/>
  </r>
  <r>
    <s v="BLI-21697-702"/>
    <x v="534"/>
    <x v="652"/>
    <s v="A-M-0.5"/>
    <n v="2"/>
    <x v="652"/>
    <s v="sdejo@newsvine.com"/>
    <x v="0"/>
    <s v="Ara"/>
    <s v="M"/>
    <x v="1"/>
    <n v="6.75"/>
    <n v="13.5"/>
    <x v="2"/>
    <x v="0"/>
    <x v="0"/>
    <n v="1.2149999999999999"/>
  </r>
  <r>
    <s v="KFJ-46568-890"/>
    <x v="535"/>
    <x v="653"/>
    <s v="E-L-0.5"/>
    <n v="2"/>
    <x v="653"/>
    <s v=""/>
    <x v="0"/>
    <s v="Exc"/>
    <s v="L"/>
    <x v="1"/>
    <n v="8.91"/>
    <n v="17.82"/>
    <x v="1"/>
    <x v="1"/>
    <x v="0"/>
    <n v="1.9601999999999999"/>
  </r>
  <r>
    <s v="SOK-43535-680"/>
    <x v="536"/>
    <x v="654"/>
    <s v="E-M-0.5"/>
    <n v="3"/>
    <x v="654"/>
    <s v="scountjq@nba.com"/>
    <x v="0"/>
    <s v="Exc"/>
    <s v="M"/>
    <x v="1"/>
    <n v="8.25"/>
    <n v="24.75"/>
    <x v="1"/>
    <x v="0"/>
    <x v="1"/>
    <n v="2.7225000000000001"/>
  </r>
  <r>
    <s v="XUE-87260-201"/>
    <x v="537"/>
    <x v="655"/>
    <s v="R-M-0.2"/>
    <n v="6"/>
    <x v="655"/>
    <s v="sraglesjr@blogtalkradio.com"/>
    <x v="0"/>
    <s v="Rob"/>
    <s v="M"/>
    <x v="3"/>
    <n v="2.9849999999999999"/>
    <n v="17.91"/>
    <x v="0"/>
    <x v="0"/>
    <x v="1"/>
    <n v="1.0745999999999998"/>
  </r>
  <r>
    <s v="CZF-40873-691"/>
    <x v="61"/>
    <x v="656"/>
    <s v="E-M-0.5"/>
    <n v="2"/>
    <x v="656"/>
    <s v=""/>
    <x v="2"/>
    <s v="Exc"/>
    <s v="M"/>
    <x v="1"/>
    <n v="8.25"/>
    <n v="16.5"/>
    <x v="1"/>
    <x v="0"/>
    <x v="1"/>
    <n v="1.8149999999999999"/>
  </r>
  <r>
    <s v="AIA-98989-755"/>
    <x v="242"/>
    <x v="657"/>
    <s v="R-M-0.2"/>
    <n v="1"/>
    <x v="657"/>
    <s v="sbruunjt@blogtalkradio.com"/>
    <x v="0"/>
    <s v="Rob"/>
    <s v="M"/>
    <x v="3"/>
    <n v="2.9849999999999999"/>
    <n v="2.9849999999999999"/>
    <x v="0"/>
    <x v="0"/>
    <x v="1"/>
    <n v="0.17909999999999998"/>
  </r>
  <r>
    <s v="ITZ-21793-986"/>
    <x v="299"/>
    <x v="658"/>
    <s v="E-D-0.2"/>
    <n v="4"/>
    <x v="658"/>
    <s v="aplluju@dagondesign.com"/>
    <x v="1"/>
    <s v="Exc"/>
    <s v="D"/>
    <x v="3"/>
    <n v="3.645"/>
    <n v="14.58"/>
    <x v="1"/>
    <x v="2"/>
    <x v="0"/>
    <n v="1.6038000000000001"/>
  </r>
  <r>
    <s v="YOK-93322-608"/>
    <x v="343"/>
    <x v="659"/>
    <s v="E-L-1"/>
    <n v="6"/>
    <x v="659"/>
    <s v="gcornierjv@techcrunch.com"/>
    <x v="0"/>
    <s v="Exc"/>
    <s v="L"/>
    <x v="0"/>
    <n v="14.85"/>
    <n v="89.1"/>
    <x v="1"/>
    <x v="1"/>
    <x v="1"/>
    <n v="9.8010000000000002"/>
  </r>
  <r>
    <s v="LXK-00634-611"/>
    <x v="538"/>
    <x v="636"/>
    <s v="R-L-1"/>
    <n v="3"/>
    <x v="636"/>
    <s v="jdymokeje@prnewswire.com"/>
    <x v="1"/>
    <s v="Rob"/>
    <s v="L"/>
    <x v="0"/>
    <n v="11.95"/>
    <n v="35.849999999999994"/>
    <x v="0"/>
    <x v="1"/>
    <x v="1"/>
    <n v="2.1509999999999998"/>
  </r>
  <r>
    <s v="CQW-37388-302"/>
    <x v="539"/>
    <x v="660"/>
    <s v="A-D-2.5"/>
    <n v="3"/>
    <x v="660"/>
    <s v="wharvisonjx@gizmodo.com"/>
    <x v="0"/>
    <s v="Ara"/>
    <s v="D"/>
    <x v="2"/>
    <n v="22.884999999999998"/>
    <n v="68.655000000000001"/>
    <x v="2"/>
    <x v="2"/>
    <x v="1"/>
    <n v="6.1789499999999986"/>
  </r>
  <r>
    <s v="SPA-79365-334"/>
    <x v="27"/>
    <x v="661"/>
    <s v="L-D-1"/>
    <n v="3"/>
    <x v="661"/>
    <s v="dheafordjy@twitpic.com"/>
    <x v="0"/>
    <s v="Lib"/>
    <s v="D"/>
    <x v="0"/>
    <n v="12.95"/>
    <n v="38.849999999999994"/>
    <x v="3"/>
    <x v="2"/>
    <x v="1"/>
    <n v="5.0504999999999995"/>
  </r>
  <r>
    <s v="VPX-08817-517"/>
    <x v="540"/>
    <x v="662"/>
    <s v="L-L-1"/>
    <n v="5"/>
    <x v="662"/>
    <s v="gfanthamjz@hexun.com"/>
    <x v="0"/>
    <s v="Lib"/>
    <s v="L"/>
    <x v="0"/>
    <n v="15.85"/>
    <n v="79.25"/>
    <x v="3"/>
    <x v="1"/>
    <x v="0"/>
    <n v="10.302500000000002"/>
  </r>
  <r>
    <s v="PBP-87115-410"/>
    <x v="541"/>
    <x v="663"/>
    <s v="E-D-0.5"/>
    <n v="5"/>
    <x v="663"/>
    <s v="rcrookshanksk0@unc.edu"/>
    <x v="0"/>
    <s v="Exc"/>
    <s v="D"/>
    <x v="1"/>
    <n v="7.29"/>
    <n v="36.450000000000003"/>
    <x v="1"/>
    <x v="2"/>
    <x v="0"/>
    <n v="4.0095000000000001"/>
  </r>
  <r>
    <s v="SFB-93752-440"/>
    <x v="390"/>
    <x v="664"/>
    <s v="R-M-0.2"/>
    <n v="3"/>
    <x v="664"/>
    <s v="nleakek1@cmu.edu"/>
    <x v="0"/>
    <s v="Rob"/>
    <s v="M"/>
    <x v="3"/>
    <n v="2.9849999999999999"/>
    <n v="8.9550000000000001"/>
    <x v="0"/>
    <x v="0"/>
    <x v="0"/>
    <n v="0.53729999999999989"/>
  </r>
  <r>
    <s v="TBU-65158-068"/>
    <x v="396"/>
    <x v="665"/>
    <s v="E-D-1"/>
    <n v="2"/>
    <x v="665"/>
    <s v=""/>
    <x v="0"/>
    <s v="Exc"/>
    <s v="D"/>
    <x v="0"/>
    <n v="12.15"/>
    <n v="24.3"/>
    <x v="1"/>
    <x v="2"/>
    <x v="1"/>
    <n v="2.673"/>
  </r>
  <r>
    <s v="TEH-08414-216"/>
    <x v="185"/>
    <x v="666"/>
    <s v="E-M-2.5"/>
    <n v="2"/>
    <x v="666"/>
    <s v="geilhersenk3@networksolutions.com"/>
    <x v="0"/>
    <s v="Exc"/>
    <s v="M"/>
    <x v="2"/>
    <n v="31.624999999999996"/>
    <n v="63.249999999999993"/>
    <x v="1"/>
    <x v="0"/>
    <x v="1"/>
    <n v="6.9574999999999996"/>
  </r>
  <r>
    <s v="MAY-77231-536"/>
    <x v="542"/>
    <x v="667"/>
    <s v="A-M-0.2"/>
    <n v="2"/>
    <x v="667"/>
    <s v=""/>
    <x v="0"/>
    <s v="Ara"/>
    <s v="M"/>
    <x v="3"/>
    <n v="3.375"/>
    <n v="6.75"/>
    <x v="2"/>
    <x v="0"/>
    <x v="0"/>
    <n v="0.60749999999999993"/>
  </r>
  <r>
    <s v="ATY-28980-884"/>
    <x v="117"/>
    <x v="668"/>
    <s v="A-L-0.2"/>
    <n v="6"/>
    <x v="668"/>
    <s v="caleixok5@globo.com"/>
    <x v="0"/>
    <s v="Ara"/>
    <s v="L"/>
    <x v="3"/>
    <n v="3.8849999999999998"/>
    <n v="23.31"/>
    <x v="2"/>
    <x v="1"/>
    <x v="1"/>
    <n v="2.0978999999999997"/>
  </r>
  <r>
    <s v="SWP-88281-918"/>
    <x v="543"/>
    <x v="669"/>
    <s v="L-L-2.5"/>
    <n v="4"/>
    <x v="669"/>
    <s v=""/>
    <x v="0"/>
    <s v="Lib"/>
    <s v="L"/>
    <x v="2"/>
    <n v="36.454999999999998"/>
    <n v="145.82"/>
    <x v="3"/>
    <x v="1"/>
    <x v="1"/>
    <n v="18.956599999999998"/>
  </r>
  <r>
    <s v="VCE-56531-986"/>
    <x v="544"/>
    <x v="670"/>
    <s v="R-M-0.5"/>
    <n v="5"/>
    <x v="670"/>
    <s v="rtomkowiczk7@bravesites.com"/>
    <x v="1"/>
    <s v="Rob"/>
    <s v="M"/>
    <x v="1"/>
    <n v="5.97"/>
    <n v="29.849999999999998"/>
    <x v="0"/>
    <x v="0"/>
    <x v="0"/>
    <n v="1.7909999999999999"/>
  </r>
  <r>
    <s v="FVV-75700-005"/>
    <x v="545"/>
    <x v="671"/>
    <s v="E-D-0.5"/>
    <n v="3"/>
    <x v="671"/>
    <s v="rhuscroftk8@jimdo.com"/>
    <x v="0"/>
    <s v="Exc"/>
    <s v="D"/>
    <x v="1"/>
    <n v="7.29"/>
    <n v="21.87"/>
    <x v="1"/>
    <x v="2"/>
    <x v="0"/>
    <n v="2.4057000000000004"/>
  </r>
  <r>
    <s v="CFZ-53492-600"/>
    <x v="546"/>
    <x v="672"/>
    <s v="L-M-0.2"/>
    <n v="1"/>
    <x v="672"/>
    <s v="sscurrerk9@flavors.me"/>
    <x v="2"/>
    <s v="Lib"/>
    <s v="M"/>
    <x v="3"/>
    <n v="4.3650000000000002"/>
    <n v="4.3650000000000002"/>
    <x v="3"/>
    <x v="0"/>
    <x v="1"/>
    <n v="0.56745000000000001"/>
  </r>
  <r>
    <s v="LDK-71031-121"/>
    <x v="420"/>
    <x v="673"/>
    <s v="L-L-2.5"/>
    <n v="1"/>
    <x v="673"/>
    <s v="arudramka@prnewswire.com"/>
    <x v="0"/>
    <s v="Lib"/>
    <s v="L"/>
    <x v="2"/>
    <n v="36.454999999999998"/>
    <n v="36.454999999999998"/>
    <x v="3"/>
    <x v="1"/>
    <x v="1"/>
    <n v="4.7391499999999995"/>
  </r>
  <r>
    <s v="EBA-82404-343"/>
    <x v="547"/>
    <x v="674"/>
    <s v="L-D-0.2"/>
    <n v="4"/>
    <x v="674"/>
    <s v=""/>
    <x v="0"/>
    <s v="Lib"/>
    <s v="D"/>
    <x v="3"/>
    <n v="3.8849999999999998"/>
    <n v="15.54"/>
    <x v="3"/>
    <x v="2"/>
    <x v="0"/>
    <n v="2.0202"/>
  </r>
  <r>
    <s v="USA-42811-560"/>
    <x v="548"/>
    <x v="675"/>
    <s v="E-L-0.2"/>
    <n v="2"/>
    <x v="675"/>
    <s v="jmahakc@cyberchimps.com"/>
    <x v="0"/>
    <s v="Exc"/>
    <s v="L"/>
    <x v="3"/>
    <n v="4.4550000000000001"/>
    <n v="8.91"/>
    <x v="1"/>
    <x v="1"/>
    <x v="1"/>
    <n v="0.98009999999999997"/>
  </r>
  <r>
    <s v="SNL-83703-516"/>
    <x v="549"/>
    <x v="676"/>
    <s v="L-M-2.5"/>
    <n v="3"/>
    <x v="676"/>
    <s v="gclemonkd@networksolutions.com"/>
    <x v="0"/>
    <s v="Lib"/>
    <s v="M"/>
    <x v="2"/>
    <n v="33.464999999999996"/>
    <n v="100.39499999999998"/>
    <x v="3"/>
    <x v="0"/>
    <x v="0"/>
    <n v="13.051349999999999"/>
  </r>
  <r>
    <s v="SUZ-83036-175"/>
    <x v="550"/>
    <x v="677"/>
    <s v="R-D-0.2"/>
    <n v="5"/>
    <x v="677"/>
    <s v=""/>
    <x v="0"/>
    <s v="Rob"/>
    <s v="D"/>
    <x v="3"/>
    <n v="2.6849999999999996"/>
    <n v="13.424999999999997"/>
    <x v="0"/>
    <x v="2"/>
    <x v="1"/>
    <n v="0.80549999999999988"/>
  </r>
  <r>
    <s v="RGM-01187-513"/>
    <x v="551"/>
    <x v="678"/>
    <s v="E-D-0.2"/>
    <n v="6"/>
    <x v="678"/>
    <s v="bpollinskf@shinystat.com"/>
    <x v="0"/>
    <s v="Exc"/>
    <s v="D"/>
    <x v="3"/>
    <n v="3.645"/>
    <n v="21.87"/>
    <x v="1"/>
    <x v="2"/>
    <x v="1"/>
    <n v="2.4057000000000004"/>
  </r>
  <r>
    <s v="CZG-01299-952"/>
    <x v="552"/>
    <x v="679"/>
    <s v="L-D-1"/>
    <n v="2"/>
    <x v="679"/>
    <s v="jtoyekg@pinterest.com"/>
    <x v="1"/>
    <s v="Lib"/>
    <s v="D"/>
    <x v="0"/>
    <n v="12.95"/>
    <n v="25.9"/>
    <x v="3"/>
    <x v="2"/>
    <x v="0"/>
    <n v="3.367"/>
  </r>
  <r>
    <s v="KLD-88731-484"/>
    <x v="553"/>
    <x v="680"/>
    <s v="A-M-1"/>
    <n v="5"/>
    <x v="680"/>
    <s v="clinskillkh@sphinn.com"/>
    <x v="0"/>
    <s v="Ara"/>
    <s v="M"/>
    <x v="0"/>
    <n v="11.25"/>
    <n v="56.25"/>
    <x v="2"/>
    <x v="0"/>
    <x v="1"/>
    <n v="5.0625"/>
  </r>
  <r>
    <s v="BQK-38412-229"/>
    <x v="554"/>
    <x v="681"/>
    <s v="R-L-0.2"/>
    <n v="3"/>
    <x v="681"/>
    <s v="nvigrasski@ezinearticles.com"/>
    <x v="2"/>
    <s v="Rob"/>
    <s v="L"/>
    <x v="3"/>
    <n v="3.5849999999999995"/>
    <n v="10.754999999999999"/>
    <x v="0"/>
    <x v="1"/>
    <x v="1"/>
    <n v="0.64529999999999987"/>
  </r>
  <r>
    <s v="TCX-76953-071"/>
    <x v="555"/>
    <x v="636"/>
    <s v="E-D-0.2"/>
    <n v="5"/>
    <x v="636"/>
    <s v="jdymokeje@prnewswire.com"/>
    <x v="1"/>
    <s v="Exc"/>
    <s v="D"/>
    <x v="3"/>
    <n v="3.645"/>
    <n v="18.225000000000001"/>
    <x v="1"/>
    <x v="2"/>
    <x v="1"/>
    <n v="2.00475"/>
  </r>
  <r>
    <s v="LIN-88046-551"/>
    <x v="150"/>
    <x v="682"/>
    <s v="R-L-0.5"/>
    <n v="4"/>
    <x v="682"/>
    <s v="kcragellkk@google.com"/>
    <x v="1"/>
    <s v="Rob"/>
    <s v="L"/>
    <x v="1"/>
    <n v="7.169999999999999"/>
    <n v="28.679999999999996"/>
    <x v="0"/>
    <x v="1"/>
    <x v="1"/>
    <n v="1.7207999999999997"/>
  </r>
  <r>
    <s v="PMV-54491-220"/>
    <x v="556"/>
    <x v="683"/>
    <s v="L-M-0.2"/>
    <n v="2"/>
    <x v="683"/>
    <s v="libertkl@huffingtonpost.com"/>
    <x v="0"/>
    <s v="Lib"/>
    <s v="M"/>
    <x v="3"/>
    <n v="4.3650000000000002"/>
    <n v="8.73"/>
    <x v="3"/>
    <x v="0"/>
    <x v="1"/>
    <n v="1.1349"/>
  </r>
  <r>
    <s v="SKA-73676-005"/>
    <x v="327"/>
    <x v="684"/>
    <s v="L-M-1"/>
    <n v="4"/>
    <x v="684"/>
    <s v="rlidgeykm@vimeo.com"/>
    <x v="0"/>
    <s v="Lib"/>
    <s v="M"/>
    <x v="0"/>
    <n v="14.55"/>
    <n v="58.2"/>
    <x v="3"/>
    <x v="0"/>
    <x v="1"/>
    <n v="7.5660000000000007"/>
  </r>
  <r>
    <s v="TKH-62197-239"/>
    <x v="557"/>
    <x v="685"/>
    <s v="A-D-0.5"/>
    <n v="3"/>
    <x v="685"/>
    <s v="tcastagnekn@wikia.com"/>
    <x v="0"/>
    <s v="Ara"/>
    <s v="D"/>
    <x v="1"/>
    <n v="5.97"/>
    <n v="17.91"/>
    <x v="2"/>
    <x v="2"/>
    <x v="1"/>
    <n v="1.6118999999999999"/>
  </r>
  <r>
    <s v="YXF-57218-272"/>
    <x v="333"/>
    <x v="686"/>
    <s v="R-M-0.2"/>
    <n v="6"/>
    <x v="686"/>
    <s v=""/>
    <x v="0"/>
    <s v="Rob"/>
    <s v="M"/>
    <x v="3"/>
    <n v="2.9849999999999999"/>
    <n v="17.91"/>
    <x v="0"/>
    <x v="0"/>
    <x v="0"/>
    <n v="1.0745999999999998"/>
  </r>
  <r>
    <s v="PKJ-30083-501"/>
    <x v="558"/>
    <x v="687"/>
    <s v="E-D-0.5"/>
    <n v="2"/>
    <x v="687"/>
    <s v="jhaldenkp@comcast.net"/>
    <x v="1"/>
    <s v="Exc"/>
    <s v="D"/>
    <x v="1"/>
    <n v="7.29"/>
    <n v="14.58"/>
    <x v="1"/>
    <x v="2"/>
    <x v="1"/>
    <n v="1.6038000000000001"/>
  </r>
  <r>
    <s v="WTT-91832-645"/>
    <x v="559"/>
    <x v="688"/>
    <s v="A-M-1"/>
    <n v="3"/>
    <x v="688"/>
    <s v="holliffkq@sciencedirect.com"/>
    <x v="1"/>
    <s v="Ara"/>
    <s v="M"/>
    <x v="0"/>
    <n v="11.25"/>
    <n v="33.75"/>
    <x v="2"/>
    <x v="0"/>
    <x v="1"/>
    <n v="3.0374999999999996"/>
  </r>
  <r>
    <s v="TRZ-94735-865"/>
    <x v="310"/>
    <x v="689"/>
    <s v="L-M-0.5"/>
    <n v="4"/>
    <x v="689"/>
    <s v="tquadrikr@opensource.org"/>
    <x v="1"/>
    <s v="Lib"/>
    <s v="M"/>
    <x v="1"/>
    <n v="8.73"/>
    <n v="34.92"/>
    <x v="3"/>
    <x v="0"/>
    <x v="0"/>
    <n v="4.5396000000000001"/>
  </r>
  <r>
    <s v="UDB-09651-780"/>
    <x v="560"/>
    <x v="690"/>
    <s v="E-D-0.5"/>
    <n v="2"/>
    <x v="690"/>
    <s v="feshmadeks@umn.edu"/>
    <x v="0"/>
    <s v="Exc"/>
    <s v="D"/>
    <x v="1"/>
    <n v="7.29"/>
    <n v="14.58"/>
    <x v="1"/>
    <x v="2"/>
    <x v="1"/>
    <n v="1.6038000000000001"/>
  </r>
  <r>
    <s v="EHJ-82097-549"/>
    <x v="561"/>
    <x v="691"/>
    <s v="R-D-0.2"/>
    <n v="2"/>
    <x v="691"/>
    <s v="moilierkt@paginegialle.it"/>
    <x v="1"/>
    <s v="Rob"/>
    <s v="D"/>
    <x v="3"/>
    <n v="2.6849999999999996"/>
    <n v="5.3699999999999992"/>
    <x v="0"/>
    <x v="2"/>
    <x v="0"/>
    <n v="0.32219999999999993"/>
  </r>
  <r>
    <s v="ZFR-79447-696"/>
    <x v="562"/>
    <x v="692"/>
    <s v="R-M-0.5"/>
    <n v="1"/>
    <x v="692"/>
    <s v=""/>
    <x v="0"/>
    <s v="Rob"/>
    <s v="M"/>
    <x v="1"/>
    <n v="5.97"/>
    <n v="5.97"/>
    <x v="0"/>
    <x v="0"/>
    <x v="0"/>
    <n v="0.35819999999999996"/>
  </r>
  <r>
    <s v="NUU-03893-975"/>
    <x v="563"/>
    <x v="693"/>
    <s v="L-L-0.5"/>
    <n v="2"/>
    <x v="693"/>
    <s v="vshoebothamkv@redcross.org"/>
    <x v="0"/>
    <s v="Lib"/>
    <s v="L"/>
    <x v="1"/>
    <n v="9.51"/>
    <n v="19.02"/>
    <x v="3"/>
    <x v="1"/>
    <x v="1"/>
    <n v="2.4725999999999999"/>
  </r>
  <r>
    <s v="GVG-59542-307"/>
    <x v="564"/>
    <x v="694"/>
    <s v="E-M-1"/>
    <n v="2"/>
    <x v="694"/>
    <s v="bsterkekw@biblegateway.com"/>
    <x v="0"/>
    <s v="Exc"/>
    <s v="M"/>
    <x v="0"/>
    <n v="13.75"/>
    <n v="27.5"/>
    <x v="1"/>
    <x v="0"/>
    <x v="0"/>
    <n v="3.0249999999999999"/>
  </r>
  <r>
    <s v="YLY-35287-172"/>
    <x v="565"/>
    <x v="695"/>
    <s v="A-D-0.5"/>
    <n v="5"/>
    <x v="695"/>
    <s v="scaponkx@craigslist.org"/>
    <x v="0"/>
    <s v="Ara"/>
    <s v="D"/>
    <x v="1"/>
    <n v="5.97"/>
    <n v="29.849999999999998"/>
    <x v="2"/>
    <x v="2"/>
    <x v="1"/>
    <n v="2.6865000000000001"/>
  </r>
  <r>
    <s v="DCI-96254-548"/>
    <x v="566"/>
    <x v="636"/>
    <s v="A-D-0.2"/>
    <n v="6"/>
    <x v="636"/>
    <s v="jdymokeje@prnewswire.com"/>
    <x v="1"/>
    <s v="Ara"/>
    <s v="D"/>
    <x v="3"/>
    <n v="2.9849999999999999"/>
    <n v="17.91"/>
    <x v="2"/>
    <x v="2"/>
    <x v="1"/>
    <n v="1.6118999999999999"/>
  </r>
  <r>
    <s v="KHZ-26264-253"/>
    <x v="160"/>
    <x v="696"/>
    <s v="L-L-0.2"/>
    <n v="6"/>
    <x v="696"/>
    <s v="fconstancekz@ifeng.com"/>
    <x v="0"/>
    <s v="Lib"/>
    <s v="L"/>
    <x v="3"/>
    <n v="4.7549999999999999"/>
    <n v="28.53"/>
    <x v="3"/>
    <x v="1"/>
    <x v="1"/>
    <n v="3.7088999999999999"/>
  </r>
  <r>
    <s v="AAQ-13644-699"/>
    <x v="567"/>
    <x v="697"/>
    <s v="R-D-1"/>
    <n v="4"/>
    <x v="697"/>
    <s v="fsulmanl0@washington.edu"/>
    <x v="0"/>
    <s v="Rob"/>
    <s v="D"/>
    <x v="0"/>
    <n v="8.9499999999999993"/>
    <n v="35.799999999999997"/>
    <x v="0"/>
    <x v="2"/>
    <x v="0"/>
    <n v="2.1479999999999997"/>
  </r>
  <r>
    <s v="LWL-68108-794"/>
    <x v="568"/>
    <x v="698"/>
    <s v="A-D-0.5"/>
    <n v="3"/>
    <x v="698"/>
    <s v="dhollymanl1@ibm.com"/>
    <x v="0"/>
    <s v="Ara"/>
    <s v="D"/>
    <x v="1"/>
    <n v="5.97"/>
    <n v="17.91"/>
    <x v="2"/>
    <x v="2"/>
    <x v="0"/>
    <n v="1.6118999999999999"/>
  </r>
  <r>
    <s v="JQT-14347-517"/>
    <x v="569"/>
    <x v="699"/>
    <s v="R-D-1"/>
    <n v="1"/>
    <x v="699"/>
    <s v="lnardonil2@hao123.com"/>
    <x v="0"/>
    <s v="Rob"/>
    <s v="D"/>
    <x v="0"/>
    <n v="8.9499999999999993"/>
    <n v="8.9499999999999993"/>
    <x v="0"/>
    <x v="2"/>
    <x v="1"/>
    <n v="0.53699999999999992"/>
  </r>
  <r>
    <s v="BMM-86471-923"/>
    <x v="570"/>
    <x v="700"/>
    <s v="L-D-2.5"/>
    <n v="1"/>
    <x v="700"/>
    <s v="dyarhaml3@moonfruit.com"/>
    <x v="0"/>
    <s v="Lib"/>
    <s v="D"/>
    <x v="2"/>
    <n v="29.784999999999997"/>
    <n v="29.784999999999997"/>
    <x v="3"/>
    <x v="2"/>
    <x v="0"/>
    <n v="3.8720499999999998"/>
  </r>
  <r>
    <s v="IXU-67272-326"/>
    <x v="571"/>
    <x v="701"/>
    <s v="E-L-0.5"/>
    <n v="5"/>
    <x v="701"/>
    <s v="aferreal4@wikia.com"/>
    <x v="0"/>
    <s v="Exc"/>
    <s v="L"/>
    <x v="1"/>
    <n v="8.91"/>
    <n v="44.55"/>
    <x v="1"/>
    <x v="1"/>
    <x v="1"/>
    <n v="4.9005000000000001"/>
  </r>
  <r>
    <s v="ITE-28312-615"/>
    <x v="139"/>
    <x v="702"/>
    <s v="E-L-1"/>
    <n v="6"/>
    <x v="702"/>
    <s v="ckendrickl5@webnode.com"/>
    <x v="0"/>
    <s v="Exc"/>
    <s v="L"/>
    <x v="0"/>
    <n v="14.85"/>
    <n v="89.1"/>
    <x v="1"/>
    <x v="1"/>
    <x v="0"/>
    <n v="9.8010000000000002"/>
  </r>
  <r>
    <s v="ZHQ-30471-635"/>
    <x v="303"/>
    <x v="703"/>
    <s v="L-M-0.5"/>
    <n v="5"/>
    <x v="703"/>
    <s v="sdanilchikl6@mit.edu"/>
    <x v="2"/>
    <s v="Lib"/>
    <s v="M"/>
    <x v="1"/>
    <n v="8.73"/>
    <n v="43.650000000000006"/>
    <x v="3"/>
    <x v="0"/>
    <x v="1"/>
    <n v="5.6745000000000001"/>
  </r>
  <r>
    <s v="LTP-31133-134"/>
    <x v="572"/>
    <x v="704"/>
    <s v="A-L-0.5"/>
    <n v="3"/>
    <x v="704"/>
    <s v=""/>
    <x v="0"/>
    <s v="Ara"/>
    <s v="L"/>
    <x v="1"/>
    <n v="7.77"/>
    <n v="23.31"/>
    <x v="2"/>
    <x v="1"/>
    <x v="1"/>
    <n v="2.0978999999999997"/>
  </r>
  <r>
    <s v="ZVQ-26122-859"/>
    <x v="573"/>
    <x v="705"/>
    <s v="A-L-2.5"/>
    <n v="6"/>
    <x v="705"/>
    <s v="bfolomkinl8@yolasite.com"/>
    <x v="0"/>
    <s v="Ara"/>
    <s v="L"/>
    <x v="2"/>
    <n v="29.784999999999997"/>
    <n v="178.70999999999998"/>
    <x v="2"/>
    <x v="1"/>
    <x v="0"/>
    <n v="16.083899999999996"/>
  </r>
  <r>
    <s v="MIU-01481-194"/>
    <x v="574"/>
    <x v="706"/>
    <s v="R-M-1"/>
    <n v="6"/>
    <x v="706"/>
    <s v="rpursglovel9@biblegateway.com"/>
    <x v="0"/>
    <s v="Rob"/>
    <s v="M"/>
    <x v="0"/>
    <n v="9.9499999999999993"/>
    <n v="59.699999999999996"/>
    <x v="0"/>
    <x v="0"/>
    <x v="0"/>
    <n v="3.5819999999999999"/>
  </r>
  <r>
    <s v="MIU-01481-194"/>
    <x v="574"/>
    <x v="706"/>
    <s v="A-L-0.5"/>
    <n v="2"/>
    <x v="706"/>
    <s v="rpursglovel9@biblegateway.com"/>
    <x v="0"/>
    <s v="Ara"/>
    <s v="L"/>
    <x v="1"/>
    <n v="7.77"/>
    <n v="15.54"/>
    <x v="2"/>
    <x v="1"/>
    <x v="0"/>
    <n v="1.3985999999999998"/>
  </r>
  <r>
    <s v="UEA-72681-629"/>
    <x v="455"/>
    <x v="696"/>
    <s v="A-L-2.5"/>
    <n v="3"/>
    <x v="696"/>
    <s v="fconstancekz@ifeng.com"/>
    <x v="0"/>
    <s v="Ara"/>
    <s v="L"/>
    <x v="2"/>
    <n v="29.784999999999997"/>
    <n v="89.35499999999999"/>
    <x v="2"/>
    <x v="1"/>
    <x v="1"/>
    <n v="8.0419499999999982"/>
  </r>
  <r>
    <s v="CVE-15042-481"/>
    <x v="575"/>
    <x v="696"/>
    <s v="R-L-1"/>
    <n v="2"/>
    <x v="696"/>
    <s v="fconstancekz@ifeng.com"/>
    <x v="0"/>
    <s v="Rob"/>
    <s v="L"/>
    <x v="0"/>
    <n v="11.95"/>
    <n v="23.9"/>
    <x v="0"/>
    <x v="1"/>
    <x v="1"/>
    <n v="1.4339999999999999"/>
  </r>
  <r>
    <s v="EJA-79176-833"/>
    <x v="576"/>
    <x v="707"/>
    <s v="R-M-2.5"/>
    <n v="6"/>
    <x v="707"/>
    <s v="deburahld@google.co.jp"/>
    <x v="2"/>
    <s v="Rob"/>
    <s v="M"/>
    <x v="2"/>
    <n v="22.884999999999998"/>
    <n v="137.31"/>
    <x v="0"/>
    <x v="0"/>
    <x v="1"/>
    <n v="8.2385999999999981"/>
  </r>
  <r>
    <s v="AHQ-40440-522"/>
    <x v="577"/>
    <x v="708"/>
    <s v="A-D-1"/>
    <n v="1"/>
    <x v="708"/>
    <s v="mbrimilcombele@cnn.com"/>
    <x v="0"/>
    <s v="Ara"/>
    <s v="D"/>
    <x v="0"/>
    <n v="9.9499999999999993"/>
    <n v="9.9499999999999993"/>
    <x v="2"/>
    <x v="2"/>
    <x v="1"/>
    <n v="0.89549999999999985"/>
  </r>
  <r>
    <s v="TID-21626-411"/>
    <x v="578"/>
    <x v="709"/>
    <s v="R-L-0.5"/>
    <n v="3"/>
    <x v="709"/>
    <s v="sbollamlf@list-manage.com"/>
    <x v="0"/>
    <s v="Rob"/>
    <s v="L"/>
    <x v="1"/>
    <n v="7.169999999999999"/>
    <n v="21.509999999999998"/>
    <x v="0"/>
    <x v="1"/>
    <x v="1"/>
    <n v="1.2905999999999997"/>
  </r>
  <r>
    <s v="RSR-96390-187"/>
    <x v="579"/>
    <x v="710"/>
    <s v="E-M-1"/>
    <n v="6"/>
    <x v="710"/>
    <s v=""/>
    <x v="0"/>
    <s v="Exc"/>
    <s v="M"/>
    <x v="0"/>
    <n v="13.75"/>
    <n v="82.5"/>
    <x v="1"/>
    <x v="0"/>
    <x v="1"/>
    <n v="9.0749999999999993"/>
  </r>
  <r>
    <s v="BZE-96093-118"/>
    <x v="91"/>
    <x v="711"/>
    <s v="L-M-0.2"/>
    <n v="2"/>
    <x v="711"/>
    <s v="afilipczaklh@ning.com"/>
    <x v="1"/>
    <s v="Lib"/>
    <s v="M"/>
    <x v="3"/>
    <n v="4.3650000000000002"/>
    <n v="8.73"/>
    <x v="3"/>
    <x v="0"/>
    <x v="1"/>
    <n v="1.1349"/>
  </r>
  <r>
    <s v="LOU-41819-242"/>
    <x v="272"/>
    <x v="712"/>
    <s v="R-M-1"/>
    <n v="2"/>
    <x v="712"/>
    <s v=""/>
    <x v="0"/>
    <s v="Rob"/>
    <s v="M"/>
    <x v="0"/>
    <n v="9.9499999999999993"/>
    <n v="19.899999999999999"/>
    <x v="0"/>
    <x v="0"/>
    <x v="0"/>
    <n v="1.194"/>
  </r>
  <r>
    <s v="FND-99527-640"/>
    <x v="65"/>
    <x v="713"/>
    <s v="E-L-0.5"/>
    <n v="2"/>
    <x v="713"/>
    <s v="relnaughlj@comsenz.com"/>
    <x v="0"/>
    <s v="Exc"/>
    <s v="L"/>
    <x v="1"/>
    <n v="8.91"/>
    <n v="17.82"/>
    <x v="1"/>
    <x v="1"/>
    <x v="0"/>
    <n v="1.9601999999999999"/>
  </r>
  <r>
    <s v="ASG-27179-958"/>
    <x v="580"/>
    <x v="714"/>
    <s v="A-M-0.5"/>
    <n v="3"/>
    <x v="714"/>
    <s v="jdeehanlk@about.me"/>
    <x v="0"/>
    <s v="Ara"/>
    <s v="M"/>
    <x v="1"/>
    <n v="6.75"/>
    <n v="20.25"/>
    <x v="2"/>
    <x v="0"/>
    <x v="1"/>
    <n v="1.8224999999999998"/>
  </r>
  <r>
    <s v="YKX-23510-272"/>
    <x v="581"/>
    <x v="715"/>
    <s v="A-L-2.5"/>
    <n v="2"/>
    <x v="715"/>
    <s v="jedenll@e-recht24.de"/>
    <x v="0"/>
    <s v="Ara"/>
    <s v="L"/>
    <x v="2"/>
    <n v="29.784999999999997"/>
    <n v="59.569999999999993"/>
    <x v="2"/>
    <x v="1"/>
    <x v="1"/>
    <n v="5.3612999999999991"/>
  </r>
  <r>
    <s v="FSA-98650-921"/>
    <x v="489"/>
    <x v="716"/>
    <s v="L-L-0.5"/>
    <n v="2"/>
    <x v="716"/>
    <s v="cjewsterlu@moonfruit.com"/>
    <x v="0"/>
    <s v="Lib"/>
    <s v="L"/>
    <x v="1"/>
    <n v="9.51"/>
    <n v="19.02"/>
    <x v="3"/>
    <x v="1"/>
    <x v="0"/>
    <n v="2.4725999999999999"/>
  </r>
  <r>
    <s v="ZUR-55774-294"/>
    <x v="234"/>
    <x v="717"/>
    <s v="L-D-1"/>
    <n v="6"/>
    <x v="717"/>
    <s v="usoutherdenln@hao123.com"/>
    <x v="0"/>
    <s v="Lib"/>
    <s v="D"/>
    <x v="0"/>
    <n v="12.95"/>
    <n v="77.699999999999989"/>
    <x v="3"/>
    <x v="2"/>
    <x v="0"/>
    <n v="10.100999999999999"/>
  </r>
  <r>
    <s v="FUO-99821-974"/>
    <x v="175"/>
    <x v="718"/>
    <s v="E-M-1"/>
    <n v="3"/>
    <x v="718"/>
    <s v=""/>
    <x v="0"/>
    <s v="Exc"/>
    <s v="M"/>
    <x v="0"/>
    <n v="13.75"/>
    <n v="41.25"/>
    <x v="1"/>
    <x v="0"/>
    <x v="1"/>
    <n v="4.5374999999999996"/>
  </r>
  <r>
    <s v="YVH-19865-819"/>
    <x v="582"/>
    <x v="719"/>
    <s v="L-L-2.5"/>
    <n v="4"/>
    <x v="719"/>
    <s v="lburtenshawlp@shinystat.com"/>
    <x v="0"/>
    <s v="Lib"/>
    <s v="L"/>
    <x v="2"/>
    <n v="36.454999999999998"/>
    <n v="145.82"/>
    <x v="3"/>
    <x v="1"/>
    <x v="1"/>
    <n v="18.956599999999998"/>
  </r>
  <r>
    <s v="NNF-47422-501"/>
    <x v="583"/>
    <x v="720"/>
    <s v="E-L-0.2"/>
    <n v="6"/>
    <x v="720"/>
    <s v="agregorattilq@vistaprint.com"/>
    <x v="1"/>
    <s v="Exc"/>
    <s v="L"/>
    <x v="3"/>
    <n v="4.4550000000000001"/>
    <n v="26.73"/>
    <x v="1"/>
    <x v="1"/>
    <x v="1"/>
    <n v="2.9402999999999997"/>
  </r>
  <r>
    <s v="RJI-71409-490"/>
    <x v="548"/>
    <x v="721"/>
    <s v="L-M-0.5"/>
    <n v="5"/>
    <x v="721"/>
    <s v="ccrosterlr@gov.uk"/>
    <x v="0"/>
    <s v="Lib"/>
    <s v="M"/>
    <x v="1"/>
    <n v="8.73"/>
    <n v="43.650000000000006"/>
    <x v="3"/>
    <x v="0"/>
    <x v="0"/>
    <n v="5.6745000000000001"/>
  </r>
  <r>
    <s v="UZL-46108-213"/>
    <x v="584"/>
    <x v="722"/>
    <s v="L-L-1"/>
    <n v="2"/>
    <x v="722"/>
    <s v="gwhiteheadls@hp.com"/>
    <x v="0"/>
    <s v="Lib"/>
    <s v="L"/>
    <x v="0"/>
    <n v="15.85"/>
    <n v="31.7"/>
    <x v="3"/>
    <x v="1"/>
    <x v="1"/>
    <n v="4.1210000000000004"/>
  </r>
  <r>
    <s v="AOX-44467-109"/>
    <x v="64"/>
    <x v="723"/>
    <s v="A-D-2.5"/>
    <n v="1"/>
    <x v="723"/>
    <s v="hjodrellelt@samsung.com"/>
    <x v="0"/>
    <s v="Ara"/>
    <s v="D"/>
    <x v="2"/>
    <n v="22.884999999999998"/>
    <n v="22.884999999999998"/>
    <x v="2"/>
    <x v="2"/>
    <x v="1"/>
    <n v="2.0596499999999995"/>
  </r>
  <r>
    <s v="TZD-67261-174"/>
    <x v="585"/>
    <x v="716"/>
    <s v="E-D-2.5"/>
    <n v="1"/>
    <x v="716"/>
    <s v="cjewsterlu@moonfruit.com"/>
    <x v="0"/>
    <s v="Exc"/>
    <s v="D"/>
    <x v="2"/>
    <n v="27.945"/>
    <n v="27.945"/>
    <x v="1"/>
    <x v="2"/>
    <x v="0"/>
    <n v="3.07395"/>
  </r>
  <r>
    <s v="TBU-64277-625"/>
    <x v="32"/>
    <x v="724"/>
    <s v="E-M-1"/>
    <n v="6"/>
    <x v="724"/>
    <s v=""/>
    <x v="0"/>
    <s v="Exc"/>
    <s v="M"/>
    <x v="0"/>
    <n v="13.75"/>
    <n v="82.5"/>
    <x v="1"/>
    <x v="0"/>
    <x v="0"/>
    <n v="9.0749999999999993"/>
  </r>
  <r>
    <s v="TYP-85767-944"/>
    <x v="586"/>
    <x v="725"/>
    <s v="R-M-2.5"/>
    <n v="2"/>
    <x v="725"/>
    <s v="knottramlw@odnoklassniki.ru"/>
    <x v="1"/>
    <s v="Rob"/>
    <s v="M"/>
    <x v="2"/>
    <n v="22.884999999999998"/>
    <n v="45.769999999999996"/>
    <x v="0"/>
    <x v="0"/>
    <x v="0"/>
    <n v="2.7461999999999995"/>
  </r>
  <r>
    <s v="GTT-73214-334"/>
    <x v="535"/>
    <x v="726"/>
    <s v="A-L-1"/>
    <n v="6"/>
    <x v="726"/>
    <s v="nbuneylx@jugem.jp"/>
    <x v="0"/>
    <s v="Ara"/>
    <s v="L"/>
    <x v="0"/>
    <n v="12.95"/>
    <n v="77.699999999999989"/>
    <x v="2"/>
    <x v="1"/>
    <x v="1"/>
    <n v="6.9930000000000003"/>
  </r>
  <r>
    <s v="WAI-89905-069"/>
    <x v="587"/>
    <x v="727"/>
    <s v="A-L-0.5"/>
    <n v="3"/>
    <x v="727"/>
    <s v="smcshealy@photobucket.com"/>
    <x v="0"/>
    <s v="Ara"/>
    <s v="L"/>
    <x v="1"/>
    <n v="7.77"/>
    <n v="23.31"/>
    <x v="2"/>
    <x v="1"/>
    <x v="1"/>
    <n v="2.0978999999999997"/>
  </r>
  <r>
    <s v="OJL-96844-459"/>
    <x v="393"/>
    <x v="728"/>
    <s v="L-L-0.2"/>
    <n v="5"/>
    <x v="728"/>
    <s v="khuddartlz@about.com"/>
    <x v="0"/>
    <s v="Lib"/>
    <s v="L"/>
    <x v="3"/>
    <n v="4.7549999999999999"/>
    <n v="23.774999999999999"/>
    <x v="3"/>
    <x v="1"/>
    <x v="0"/>
    <n v="3.0907499999999999"/>
  </r>
  <r>
    <s v="VGI-33205-360"/>
    <x v="588"/>
    <x v="729"/>
    <s v="L-M-0.5"/>
    <n v="6"/>
    <x v="729"/>
    <s v="jgippesm0@cloudflare.com"/>
    <x v="2"/>
    <s v="Lib"/>
    <s v="M"/>
    <x v="1"/>
    <n v="8.73"/>
    <n v="52.38"/>
    <x v="3"/>
    <x v="0"/>
    <x v="0"/>
    <n v="6.8094000000000001"/>
  </r>
  <r>
    <s v="PCA-14081-576"/>
    <x v="15"/>
    <x v="730"/>
    <s v="R-L-0.2"/>
    <n v="5"/>
    <x v="730"/>
    <s v="lwhittleseem1@e-recht24.de"/>
    <x v="0"/>
    <s v="Rob"/>
    <s v="L"/>
    <x v="3"/>
    <n v="3.5849999999999995"/>
    <n v="17.924999999999997"/>
    <x v="0"/>
    <x v="1"/>
    <x v="1"/>
    <n v="1.0754999999999999"/>
  </r>
  <r>
    <s v="SCS-67069-962"/>
    <x v="507"/>
    <x v="731"/>
    <s v="A-L-2.5"/>
    <n v="5"/>
    <x v="731"/>
    <s v="gtrengrovem2@elpais.com"/>
    <x v="0"/>
    <s v="Ara"/>
    <s v="L"/>
    <x v="2"/>
    <n v="29.784999999999997"/>
    <n v="148.92499999999998"/>
    <x v="2"/>
    <x v="1"/>
    <x v="1"/>
    <n v="13.403249999999998"/>
  </r>
  <r>
    <s v="BDM-03174-485"/>
    <x v="533"/>
    <x v="732"/>
    <s v="R-L-0.5"/>
    <n v="4"/>
    <x v="732"/>
    <s v="wcalderom3@stumbleupon.com"/>
    <x v="0"/>
    <s v="Rob"/>
    <s v="L"/>
    <x v="1"/>
    <n v="7.169999999999999"/>
    <n v="28.679999999999996"/>
    <x v="0"/>
    <x v="1"/>
    <x v="1"/>
    <n v="1.7207999999999997"/>
  </r>
  <r>
    <s v="UJV-32333-364"/>
    <x v="589"/>
    <x v="733"/>
    <s v="L-L-0.5"/>
    <n v="1"/>
    <x v="733"/>
    <s v=""/>
    <x v="0"/>
    <s v="Lib"/>
    <s v="L"/>
    <x v="1"/>
    <n v="9.51"/>
    <n v="9.51"/>
    <x v="3"/>
    <x v="1"/>
    <x v="1"/>
    <n v="1.2363"/>
  </r>
  <r>
    <s v="FLI-11493-954"/>
    <x v="590"/>
    <x v="734"/>
    <s v="A-L-0.5"/>
    <n v="4"/>
    <x v="734"/>
    <s v="jkennicottm5@yahoo.co.jp"/>
    <x v="0"/>
    <s v="Ara"/>
    <s v="L"/>
    <x v="1"/>
    <n v="7.77"/>
    <n v="31.08"/>
    <x v="2"/>
    <x v="1"/>
    <x v="1"/>
    <n v="2.7971999999999997"/>
  </r>
  <r>
    <s v="IWL-13117-537"/>
    <x v="457"/>
    <x v="735"/>
    <s v="R-D-0.2"/>
    <n v="3"/>
    <x v="735"/>
    <s v="gruggenm6@nymag.com"/>
    <x v="0"/>
    <s v="Rob"/>
    <s v="D"/>
    <x v="3"/>
    <n v="2.6849999999999996"/>
    <n v="8.0549999999999997"/>
    <x v="0"/>
    <x v="2"/>
    <x v="0"/>
    <n v="0.4832999999999999"/>
  </r>
  <r>
    <s v="OAM-76916-748"/>
    <x v="591"/>
    <x v="736"/>
    <s v="E-D-1"/>
    <n v="3"/>
    <x v="736"/>
    <s v=""/>
    <x v="0"/>
    <s v="Exc"/>
    <s v="D"/>
    <x v="0"/>
    <n v="12.15"/>
    <n v="36.450000000000003"/>
    <x v="1"/>
    <x v="2"/>
    <x v="0"/>
    <n v="4.0095000000000001"/>
  </r>
  <r>
    <s v="UMB-11223-710"/>
    <x v="592"/>
    <x v="737"/>
    <s v="R-D-0.2"/>
    <n v="6"/>
    <x v="737"/>
    <s v="mfrightm8@harvard.edu"/>
    <x v="1"/>
    <s v="Rob"/>
    <s v="D"/>
    <x v="3"/>
    <n v="2.6849999999999996"/>
    <n v="16.11"/>
    <x v="0"/>
    <x v="2"/>
    <x v="1"/>
    <n v="0.96659999999999979"/>
  </r>
  <r>
    <s v="LXR-09892-726"/>
    <x v="402"/>
    <x v="738"/>
    <s v="R-D-2.5"/>
    <n v="2"/>
    <x v="738"/>
    <s v="btartem9@aol.com"/>
    <x v="0"/>
    <s v="Rob"/>
    <s v="D"/>
    <x v="2"/>
    <n v="20.584999999999997"/>
    <n v="41.169999999999995"/>
    <x v="0"/>
    <x v="2"/>
    <x v="0"/>
    <n v="2.4701999999999997"/>
  </r>
  <r>
    <s v="QXX-89943-393"/>
    <x v="593"/>
    <x v="739"/>
    <s v="R-D-0.2"/>
    <n v="4"/>
    <x v="739"/>
    <s v="ckrzysztofiakma@skyrock.com"/>
    <x v="0"/>
    <s v="Rob"/>
    <s v="D"/>
    <x v="3"/>
    <n v="2.6849999999999996"/>
    <n v="10.739999999999998"/>
    <x v="0"/>
    <x v="2"/>
    <x v="1"/>
    <n v="0.64439999999999986"/>
  </r>
  <r>
    <s v="WVS-57822-366"/>
    <x v="594"/>
    <x v="740"/>
    <s v="E-M-2.5"/>
    <n v="4"/>
    <x v="740"/>
    <s v="dpenquetmb@diigo.com"/>
    <x v="0"/>
    <s v="Exc"/>
    <s v="M"/>
    <x v="2"/>
    <n v="31.624999999999996"/>
    <n v="126.49999999999999"/>
    <x v="1"/>
    <x v="0"/>
    <x v="1"/>
    <n v="13.914999999999999"/>
  </r>
  <r>
    <s v="CLJ-23403-689"/>
    <x v="77"/>
    <x v="741"/>
    <s v="R-L-1"/>
    <n v="2"/>
    <x v="741"/>
    <s v=""/>
    <x v="2"/>
    <s v="Rob"/>
    <s v="L"/>
    <x v="0"/>
    <n v="11.95"/>
    <n v="23.9"/>
    <x v="0"/>
    <x v="1"/>
    <x v="1"/>
    <n v="1.4339999999999999"/>
  </r>
  <r>
    <s v="XNU-83276-288"/>
    <x v="595"/>
    <x v="742"/>
    <s v="R-M-0.5"/>
    <n v="1"/>
    <x v="742"/>
    <s v=""/>
    <x v="0"/>
    <s v="Rob"/>
    <s v="M"/>
    <x v="1"/>
    <n v="5.97"/>
    <n v="5.97"/>
    <x v="0"/>
    <x v="0"/>
    <x v="1"/>
    <n v="0.35819999999999996"/>
  </r>
  <r>
    <s v="YOG-94666-679"/>
    <x v="596"/>
    <x v="743"/>
    <s v="L-D-0.2"/>
    <n v="2"/>
    <x v="743"/>
    <s v=""/>
    <x v="2"/>
    <s v="Lib"/>
    <s v="D"/>
    <x v="3"/>
    <n v="3.8849999999999998"/>
    <n v="7.77"/>
    <x v="3"/>
    <x v="2"/>
    <x v="0"/>
    <n v="1.0101"/>
  </r>
  <r>
    <s v="KHG-33953-115"/>
    <x v="514"/>
    <x v="744"/>
    <s v="L-D-0.5"/>
    <n v="3"/>
    <x v="744"/>
    <s v="kferrettimf@huffingtonpost.com"/>
    <x v="1"/>
    <s v="Lib"/>
    <s v="D"/>
    <x v="1"/>
    <n v="7.77"/>
    <n v="23.31"/>
    <x v="3"/>
    <x v="2"/>
    <x v="1"/>
    <n v="3.0303"/>
  </r>
  <r>
    <s v="MHD-95615-696"/>
    <x v="54"/>
    <x v="745"/>
    <s v="R-L-2.5"/>
    <n v="5"/>
    <x v="745"/>
    <s v=""/>
    <x v="0"/>
    <s v="Rob"/>
    <s v="L"/>
    <x v="2"/>
    <n v="27.484999999999996"/>
    <n v="137.42499999999998"/>
    <x v="0"/>
    <x v="1"/>
    <x v="1"/>
    <n v="8.2454999999999998"/>
  </r>
  <r>
    <s v="HBH-64794-080"/>
    <x v="597"/>
    <x v="746"/>
    <s v="R-D-0.2"/>
    <n v="3"/>
    <x v="746"/>
    <s v=""/>
    <x v="0"/>
    <s v="Rob"/>
    <s v="D"/>
    <x v="3"/>
    <n v="2.6849999999999996"/>
    <n v="8.0549999999999997"/>
    <x v="0"/>
    <x v="2"/>
    <x v="0"/>
    <n v="0.4832999999999999"/>
  </r>
  <r>
    <s v="CNJ-56058-223"/>
    <x v="105"/>
    <x v="747"/>
    <s v="L-L-0.5"/>
    <n v="3"/>
    <x v="747"/>
    <s v="abalsdonemi@toplist.cz"/>
    <x v="0"/>
    <s v="Lib"/>
    <s v="L"/>
    <x v="1"/>
    <n v="9.51"/>
    <n v="28.53"/>
    <x v="3"/>
    <x v="1"/>
    <x v="1"/>
    <n v="3.7088999999999999"/>
  </r>
  <r>
    <s v="KHO-27106-786"/>
    <x v="210"/>
    <x v="748"/>
    <s v="A-M-1"/>
    <n v="6"/>
    <x v="748"/>
    <s v="bromeramj@list-manage.com"/>
    <x v="1"/>
    <s v="Ara"/>
    <s v="M"/>
    <x v="0"/>
    <n v="11.25"/>
    <n v="67.5"/>
    <x v="2"/>
    <x v="0"/>
    <x v="0"/>
    <n v="6.0749999999999993"/>
  </r>
  <r>
    <s v="KHO-27106-786"/>
    <x v="210"/>
    <x v="748"/>
    <s v="L-D-2.5"/>
    <n v="6"/>
    <x v="748"/>
    <s v="bromeramj@list-manage.com"/>
    <x v="1"/>
    <s v="Lib"/>
    <s v="D"/>
    <x v="2"/>
    <n v="29.784999999999997"/>
    <n v="178.70999999999998"/>
    <x v="3"/>
    <x v="2"/>
    <x v="0"/>
    <n v="23.232299999999999"/>
  </r>
  <r>
    <s v="YAC-50329-982"/>
    <x v="598"/>
    <x v="749"/>
    <s v="E-M-2.5"/>
    <n v="1"/>
    <x v="749"/>
    <s v="cbrydeml@tuttocitta.it"/>
    <x v="0"/>
    <s v="Exc"/>
    <s v="M"/>
    <x v="2"/>
    <n v="31.624999999999996"/>
    <n v="31.624999999999996"/>
    <x v="1"/>
    <x v="0"/>
    <x v="0"/>
    <n v="3.4787499999999998"/>
  </r>
  <r>
    <s v="VVL-95291-039"/>
    <x v="360"/>
    <x v="750"/>
    <s v="E-L-0.2"/>
    <n v="2"/>
    <x v="750"/>
    <s v="senefermm@blog.com"/>
    <x v="0"/>
    <s v="Exc"/>
    <s v="L"/>
    <x v="3"/>
    <n v="4.4550000000000001"/>
    <n v="8.91"/>
    <x v="1"/>
    <x v="1"/>
    <x v="1"/>
    <n v="0.98009999999999997"/>
  </r>
  <r>
    <s v="VUT-20974-364"/>
    <x v="62"/>
    <x v="751"/>
    <s v="R-M-0.5"/>
    <n v="6"/>
    <x v="751"/>
    <s v="lhaggerstonemn@independent.co.uk"/>
    <x v="0"/>
    <s v="Rob"/>
    <s v="M"/>
    <x v="1"/>
    <n v="5.97"/>
    <n v="35.82"/>
    <x v="0"/>
    <x v="0"/>
    <x v="1"/>
    <n v="2.1491999999999996"/>
  </r>
  <r>
    <s v="SFC-34054-213"/>
    <x v="599"/>
    <x v="752"/>
    <s v="L-L-0.5"/>
    <n v="4"/>
    <x v="752"/>
    <s v="mgundrymo@omniture.com"/>
    <x v="1"/>
    <s v="Lib"/>
    <s v="L"/>
    <x v="1"/>
    <n v="9.51"/>
    <n v="38.04"/>
    <x v="3"/>
    <x v="1"/>
    <x v="1"/>
    <n v="4.9451999999999998"/>
  </r>
  <r>
    <s v="UDS-04807-593"/>
    <x v="600"/>
    <x v="753"/>
    <s v="L-D-0.5"/>
    <n v="2"/>
    <x v="753"/>
    <s v="bwellanmp@cafepress.com"/>
    <x v="0"/>
    <s v="Lib"/>
    <s v="D"/>
    <x v="1"/>
    <n v="7.77"/>
    <n v="15.54"/>
    <x v="3"/>
    <x v="2"/>
    <x v="1"/>
    <n v="2.0202"/>
  </r>
  <r>
    <s v="FWE-98471-488"/>
    <x v="601"/>
    <x v="745"/>
    <s v="L-L-1"/>
    <n v="5"/>
    <x v="745"/>
    <s v=""/>
    <x v="0"/>
    <s v="Lib"/>
    <s v="L"/>
    <x v="0"/>
    <n v="15.85"/>
    <n v="79.25"/>
    <x v="3"/>
    <x v="1"/>
    <x v="1"/>
    <n v="10.302500000000002"/>
  </r>
  <r>
    <s v="RAU-17060-674"/>
    <x v="602"/>
    <x v="754"/>
    <s v="L-L-0.2"/>
    <n v="1"/>
    <x v="754"/>
    <s v="catchesonmr@xinhuanet.com"/>
    <x v="0"/>
    <s v="Lib"/>
    <s v="L"/>
    <x v="3"/>
    <n v="4.7549999999999999"/>
    <n v="4.7549999999999999"/>
    <x v="3"/>
    <x v="1"/>
    <x v="0"/>
    <n v="0.61814999999999998"/>
  </r>
  <r>
    <s v="AOL-13866-711"/>
    <x v="603"/>
    <x v="755"/>
    <s v="E-M-1"/>
    <n v="4"/>
    <x v="755"/>
    <s v="estentonms@google.it"/>
    <x v="0"/>
    <s v="Exc"/>
    <s v="M"/>
    <x v="0"/>
    <n v="13.75"/>
    <n v="55"/>
    <x v="1"/>
    <x v="0"/>
    <x v="0"/>
    <n v="6.05"/>
  </r>
  <r>
    <s v="NOA-79645-377"/>
    <x v="604"/>
    <x v="756"/>
    <s v="R-D-0.5"/>
    <n v="5"/>
    <x v="756"/>
    <s v="etrippmt@wp.com"/>
    <x v="0"/>
    <s v="Rob"/>
    <s v="D"/>
    <x v="1"/>
    <n v="5.3699999999999992"/>
    <n v="26.849999999999994"/>
    <x v="0"/>
    <x v="2"/>
    <x v="1"/>
    <n v="1.6109999999999998"/>
  </r>
  <r>
    <s v="KMS-49214-806"/>
    <x v="605"/>
    <x v="757"/>
    <s v="E-L-2.5"/>
    <n v="4"/>
    <x v="757"/>
    <s v="lmacmanusmu@imdb.com"/>
    <x v="0"/>
    <s v="Exc"/>
    <s v="L"/>
    <x v="2"/>
    <n v="34.154999999999994"/>
    <n v="136.61999999999998"/>
    <x v="1"/>
    <x v="1"/>
    <x v="1"/>
    <n v="15.028199999999998"/>
  </r>
  <r>
    <s v="ABK-08091-531"/>
    <x v="606"/>
    <x v="758"/>
    <s v="L-L-1"/>
    <n v="3"/>
    <x v="758"/>
    <s v="tbenediktovichmv@ebay.com"/>
    <x v="0"/>
    <s v="Lib"/>
    <s v="L"/>
    <x v="0"/>
    <n v="15.85"/>
    <n v="47.55"/>
    <x v="3"/>
    <x v="1"/>
    <x v="0"/>
    <n v="6.1815000000000007"/>
  </r>
  <r>
    <s v="GPT-67705-953"/>
    <x v="446"/>
    <x v="759"/>
    <s v="A-M-0.2"/>
    <n v="5"/>
    <x v="759"/>
    <s v="cbournermw@chronoengine.com"/>
    <x v="0"/>
    <s v="Ara"/>
    <s v="M"/>
    <x v="3"/>
    <n v="3.375"/>
    <n v="16.875"/>
    <x v="2"/>
    <x v="0"/>
    <x v="0"/>
    <n v="1.5187499999999998"/>
  </r>
  <r>
    <s v="JNA-21450-177"/>
    <x v="18"/>
    <x v="760"/>
    <s v="A-D-1"/>
    <n v="3"/>
    <x v="760"/>
    <s v="oskermen3@hatena.ne.jp"/>
    <x v="0"/>
    <s v="Ara"/>
    <s v="D"/>
    <x v="0"/>
    <n v="9.9499999999999993"/>
    <n v="29.849999999999998"/>
    <x v="2"/>
    <x v="2"/>
    <x v="0"/>
    <n v="2.6864999999999997"/>
  </r>
  <r>
    <s v="MPQ-23421-608"/>
    <x v="180"/>
    <x v="761"/>
    <s v="E-M-0.5"/>
    <n v="5"/>
    <x v="761"/>
    <s v="kheddanmy@icq.com"/>
    <x v="0"/>
    <s v="Exc"/>
    <s v="M"/>
    <x v="1"/>
    <n v="8.25"/>
    <n v="41.25"/>
    <x v="1"/>
    <x v="0"/>
    <x v="0"/>
    <n v="4.5374999999999996"/>
  </r>
  <r>
    <s v="NLI-63891-565"/>
    <x v="580"/>
    <x v="762"/>
    <s v="E-M-0.2"/>
    <n v="5"/>
    <x v="762"/>
    <s v="ichartersmz@abc.net.au"/>
    <x v="0"/>
    <s v="Exc"/>
    <s v="M"/>
    <x v="3"/>
    <n v="4.125"/>
    <n v="20.625"/>
    <x v="1"/>
    <x v="0"/>
    <x v="1"/>
    <n v="2.2687499999999998"/>
  </r>
  <r>
    <s v="HHF-36647-854"/>
    <x v="453"/>
    <x v="763"/>
    <s v="A-D-2.5"/>
    <n v="6"/>
    <x v="763"/>
    <s v="aroubertn0@tmall.com"/>
    <x v="0"/>
    <s v="Ara"/>
    <s v="D"/>
    <x v="2"/>
    <n v="22.884999999999998"/>
    <n v="137.31"/>
    <x v="2"/>
    <x v="2"/>
    <x v="0"/>
    <n v="12.357899999999997"/>
  </r>
  <r>
    <s v="SBN-16537-046"/>
    <x v="259"/>
    <x v="764"/>
    <s v="A-D-0.2"/>
    <n v="1"/>
    <x v="764"/>
    <s v="hmairsn1@so-net.ne.jp"/>
    <x v="0"/>
    <s v="Ara"/>
    <s v="D"/>
    <x v="3"/>
    <n v="2.9849999999999999"/>
    <n v="2.9849999999999999"/>
    <x v="2"/>
    <x v="2"/>
    <x v="1"/>
    <n v="0.26865"/>
  </r>
  <r>
    <s v="XZD-44484-632"/>
    <x v="607"/>
    <x v="765"/>
    <s v="E-M-1"/>
    <n v="2"/>
    <x v="765"/>
    <s v="hrainforthn2@blog.com"/>
    <x v="0"/>
    <s v="Exc"/>
    <s v="M"/>
    <x v="0"/>
    <n v="13.75"/>
    <n v="27.5"/>
    <x v="1"/>
    <x v="0"/>
    <x v="1"/>
    <n v="3.0249999999999999"/>
  </r>
  <r>
    <s v="XZD-44484-632"/>
    <x v="607"/>
    <x v="765"/>
    <s v="A-D-0.2"/>
    <n v="2"/>
    <x v="765"/>
    <s v="hrainforthn2@blog.com"/>
    <x v="0"/>
    <s v="Ara"/>
    <s v="D"/>
    <x v="3"/>
    <n v="2.9849999999999999"/>
    <n v="5.97"/>
    <x v="2"/>
    <x v="2"/>
    <x v="1"/>
    <n v="0.5373"/>
  </r>
  <r>
    <s v="IKQ-39946-768"/>
    <x v="385"/>
    <x v="766"/>
    <s v="R-M-1"/>
    <n v="6"/>
    <x v="766"/>
    <s v="ijespern4@theglobeandmail.com"/>
    <x v="0"/>
    <s v="Rob"/>
    <s v="M"/>
    <x v="0"/>
    <n v="9.9499999999999993"/>
    <n v="59.699999999999996"/>
    <x v="0"/>
    <x v="0"/>
    <x v="1"/>
    <n v="3.5819999999999999"/>
  </r>
  <r>
    <s v="KMB-95211-174"/>
    <x v="608"/>
    <x v="767"/>
    <s v="R-D-2.5"/>
    <n v="4"/>
    <x v="767"/>
    <s v="ldwerryhousen5@gravatar.com"/>
    <x v="0"/>
    <s v="Rob"/>
    <s v="D"/>
    <x v="2"/>
    <n v="20.584999999999997"/>
    <n v="82.339999999999989"/>
    <x v="0"/>
    <x v="2"/>
    <x v="0"/>
    <n v="4.9403999999999995"/>
  </r>
  <r>
    <s v="QWY-99467-368"/>
    <x v="609"/>
    <x v="768"/>
    <s v="A-D-2.5"/>
    <n v="1"/>
    <x v="768"/>
    <s v="nbroomern6@examiner.com"/>
    <x v="0"/>
    <s v="Ara"/>
    <s v="D"/>
    <x v="2"/>
    <n v="22.884999999999998"/>
    <n v="22.884999999999998"/>
    <x v="2"/>
    <x v="2"/>
    <x v="1"/>
    <n v="2.0596499999999995"/>
  </r>
  <r>
    <s v="SRG-76791-614"/>
    <x v="147"/>
    <x v="769"/>
    <s v="E-L-0.5"/>
    <n v="1"/>
    <x v="769"/>
    <s v="kthoumassonn7@bloglovin.com"/>
    <x v="0"/>
    <s v="Exc"/>
    <s v="L"/>
    <x v="1"/>
    <n v="8.91"/>
    <n v="8.91"/>
    <x v="1"/>
    <x v="1"/>
    <x v="0"/>
    <n v="0.98009999999999997"/>
  </r>
  <r>
    <s v="VSN-94485-621"/>
    <x v="172"/>
    <x v="770"/>
    <s v="A-D-0.2"/>
    <n v="4"/>
    <x v="770"/>
    <s v="fhabberghamn8@discovery.com"/>
    <x v="0"/>
    <s v="Ara"/>
    <s v="D"/>
    <x v="3"/>
    <n v="2.9849999999999999"/>
    <n v="11.94"/>
    <x v="2"/>
    <x v="2"/>
    <x v="1"/>
    <n v="1.0746"/>
  </r>
  <r>
    <s v="UFZ-24348-219"/>
    <x v="610"/>
    <x v="745"/>
    <s v="L-M-2.5"/>
    <n v="3"/>
    <x v="745"/>
    <s v=""/>
    <x v="0"/>
    <s v="Lib"/>
    <s v="M"/>
    <x v="2"/>
    <n v="33.464999999999996"/>
    <n v="100.39499999999998"/>
    <x v="3"/>
    <x v="0"/>
    <x v="1"/>
    <n v="13.051349999999999"/>
  </r>
  <r>
    <s v="UKS-93055-397"/>
    <x v="611"/>
    <x v="771"/>
    <s v="A-D-2.5"/>
    <n v="5"/>
    <x v="771"/>
    <s v="ravrashinna@tamu.edu"/>
    <x v="0"/>
    <s v="Ara"/>
    <s v="D"/>
    <x v="2"/>
    <n v="22.884999999999998"/>
    <n v="114.42499999999998"/>
    <x v="2"/>
    <x v="2"/>
    <x v="1"/>
    <n v="10.298249999999998"/>
  </r>
  <r>
    <s v="AVH-56062-335"/>
    <x v="612"/>
    <x v="772"/>
    <s v="E-M-0.5"/>
    <n v="5"/>
    <x v="772"/>
    <s v="mdoidgenb@etsy.com"/>
    <x v="0"/>
    <s v="Exc"/>
    <s v="M"/>
    <x v="1"/>
    <n v="8.25"/>
    <n v="41.25"/>
    <x v="1"/>
    <x v="0"/>
    <x v="1"/>
    <n v="4.5374999999999996"/>
  </r>
  <r>
    <s v="HGE-19842-613"/>
    <x v="613"/>
    <x v="773"/>
    <s v="R-L-0.5"/>
    <n v="4"/>
    <x v="773"/>
    <s v="jedinboronc@reverbnation.com"/>
    <x v="0"/>
    <s v="Rob"/>
    <s v="L"/>
    <x v="1"/>
    <n v="7.169999999999999"/>
    <n v="28.679999999999996"/>
    <x v="0"/>
    <x v="1"/>
    <x v="0"/>
    <n v="1.7207999999999997"/>
  </r>
  <r>
    <s v="WBA-85905-175"/>
    <x v="611"/>
    <x v="774"/>
    <s v="L-M-0.2"/>
    <n v="1"/>
    <x v="774"/>
    <s v="ttewelsonnd@cdbaby.com"/>
    <x v="0"/>
    <s v="Lib"/>
    <s v="M"/>
    <x v="3"/>
    <n v="4.3650000000000002"/>
    <n v="4.3650000000000002"/>
    <x v="3"/>
    <x v="0"/>
    <x v="1"/>
    <n v="0.56745000000000001"/>
  </r>
  <r>
    <s v="DZI-35365-596"/>
    <x v="493"/>
    <x v="760"/>
    <s v="E-M-0.2"/>
    <n v="2"/>
    <x v="760"/>
    <s v="oskermen3@hatena.ne.jp"/>
    <x v="0"/>
    <s v="Exc"/>
    <s v="M"/>
    <x v="3"/>
    <n v="4.125"/>
    <n v="8.25"/>
    <x v="1"/>
    <x v="0"/>
    <x v="0"/>
    <n v="0.90749999999999997"/>
  </r>
  <r>
    <s v="XIR-88982-743"/>
    <x v="614"/>
    <x v="775"/>
    <s v="E-M-0.2"/>
    <n v="2"/>
    <x v="775"/>
    <s v="ddrewittnf@mapquest.com"/>
    <x v="0"/>
    <s v="Exc"/>
    <s v="M"/>
    <x v="3"/>
    <n v="4.125"/>
    <n v="8.25"/>
    <x v="1"/>
    <x v="0"/>
    <x v="0"/>
    <n v="0.90749999999999997"/>
  </r>
  <r>
    <s v="VUC-72395-865"/>
    <x v="151"/>
    <x v="776"/>
    <s v="A-D-0.5"/>
    <n v="6"/>
    <x v="776"/>
    <s v="agladhillng@stanford.edu"/>
    <x v="0"/>
    <s v="Ara"/>
    <s v="D"/>
    <x v="1"/>
    <n v="5.97"/>
    <n v="35.82"/>
    <x v="2"/>
    <x v="2"/>
    <x v="0"/>
    <n v="3.2237999999999998"/>
  </r>
  <r>
    <s v="BQJ-44755-910"/>
    <x v="489"/>
    <x v="777"/>
    <s v="E-D-2.5"/>
    <n v="6"/>
    <x v="777"/>
    <s v="mlorineznh@whitehouse.gov"/>
    <x v="0"/>
    <s v="Exc"/>
    <s v="D"/>
    <x v="2"/>
    <n v="27.945"/>
    <n v="167.67000000000002"/>
    <x v="1"/>
    <x v="2"/>
    <x v="1"/>
    <n v="18.4437"/>
  </r>
  <r>
    <s v="JKC-64636-831"/>
    <x v="615"/>
    <x v="778"/>
    <s v="A-M-2.5"/>
    <n v="2"/>
    <x v="778"/>
    <s v=""/>
    <x v="0"/>
    <s v="Ara"/>
    <s v="M"/>
    <x v="2"/>
    <n v="25.874999999999996"/>
    <n v="51.749999999999993"/>
    <x v="2"/>
    <x v="0"/>
    <x v="0"/>
    <n v="4.6574999999999989"/>
  </r>
  <r>
    <s v="ZKI-78561-066"/>
    <x v="616"/>
    <x v="779"/>
    <s v="A-D-0.2"/>
    <n v="3"/>
    <x v="779"/>
    <s v="mvannj@wikipedia.org"/>
    <x v="0"/>
    <s v="Ara"/>
    <s v="D"/>
    <x v="3"/>
    <n v="2.9849999999999999"/>
    <n v="8.9550000000000001"/>
    <x v="2"/>
    <x v="2"/>
    <x v="0"/>
    <n v="0.80594999999999994"/>
  </r>
  <r>
    <s v="IMP-12563-728"/>
    <x v="578"/>
    <x v="780"/>
    <s v="E-L-0.5"/>
    <n v="6"/>
    <x v="780"/>
    <s v=""/>
    <x v="0"/>
    <s v="Exc"/>
    <s v="L"/>
    <x v="1"/>
    <n v="8.91"/>
    <n v="53.46"/>
    <x v="1"/>
    <x v="1"/>
    <x v="1"/>
    <n v="5.8805999999999994"/>
  </r>
  <r>
    <s v="MZL-81126-390"/>
    <x v="617"/>
    <x v="781"/>
    <s v="A-L-0.2"/>
    <n v="6"/>
    <x v="781"/>
    <s v="jethelstonnl@creativecommons.org"/>
    <x v="0"/>
    <s v="Ara"/>
    <s v="L"/>
    <x v="3"/>
    <n v="3.8849999999999998"/>
    <n v="23.31"/>
    <x v="2"/>
    <x v="1"/>
    <x v="0"/>
    <n v="2.0978999999999997"/>
  </r>
  <r>
    <s v="MZL-81126-390"/>
    <x v="617"/>
    <x v="781"/>
    <s v="A-M-0.2"/>
    <n v="2"/>
    <x v="781"/>
    <s v="jethelstonnl@creativecommons.org"/>
    <x v="0"/>
    <s v="Ara"/>
    <s v="M"/>
    <x v="3"/>
    <n v="3.375"/>
    <n v="6.75"/>
    <x v="2"/>
    <x v="0"/>
    <x v="0"/>
    <n v="0.60749999999999993"/>
  </r>
  <r>
    <s v="TVF-57766-608"/>
    <x v="155"/>
    <x v="782"/>
    <s v="L-D-0.5"/>
    <n v="1"/>
    <x v="782"/>
    <s v="peberznn@woothemes.com"/>
    <x v="0"/>
    <s v="Lib"/>
    <s v="D"/>
    <x v="1"/>
    <n v="7.77"/>
    <n v="7.77"/>
    <x v="3"/>
    <x v="2"/>
    <x v="0"/>
    <n v="1.0101"/>
  </r>
  <r>
    <s v="RUX-37995-892"/>
    <x v="461"/>
    <x v="783"/>
    <s v="L-D-2.5"/>
    <n v="4"/>
    <x v="783"/>
    <s v="bgaishno@altervista.org"/>
    <x v="0"/>
    <s v="Lib"/>
    <s v="D"/>
    <x v="2"/>
    <n v="29.784999999999997"/>
    <n v="119.13999999999999"/>
    <x v="3"/>
    <x v="2"/>
    <x v="0"/>
    <n v="15.488199999999999"/>
  </r>
  <r>
    <s v="AVK-76526-953"/>
    <x v="87"/>
    <x v="784"/>
    <s v="A-D-1"/>
    <n v="2"/>
    <x v="784"/>
    <s v="ldantonnp@miitbeian.gov.cn"/>
    <x v="0"/>
    <s v="Ara"/>
    <s v="D"/>
    <x v="0"/>
    <n v="9.9499999999999993"/>
    <n v="19.899999999999999"/>
    <x v="2"/>
    <x v="2"/>
    <x v="1"/>
    <n v="1.7909999999999997"/>
  </r>
  <r>
    <s v="RIU-02231-623"/>
    <x v="618"/>
    <x v="785"/>
    <s v="R-L-0.5"/>
    <n v="5"/>
    <x v="785"/>
    <s v="smorrallnq@answers.com"/>
    <x v="0"/>
    <s v="Rob"/>
    <s v="L"/>
    <x v="1"/>
    <n v="7.169999999999999"/>
    <n v="35.849999999999994"/>
    <x v="0"/>
    <x v="1"/>
    <x v="0"/>
    <n v="2.1509999999999998"/>
  </r>
  <r>
    <s v="WFK-99317-827"/>
    <x v="619"/>
    <x v="786"/>
    <s v="L-D-2.5"/>
    <n v="3"/>
    <x v="786"/>
    <s v="dcrownshawnr@photobucket.com"/>
    <x v="0"/>
    <s v="Lib"/>
    <s v="D"/>
    <x v="2"/>
    <n v="29.784999999999997"/>
    <n v="89.35499999999999"/>
    <x v="3"/>
    <x v="2"/>
    <x v="1"/>
    <n v="11.616149999999999"/>
  </r>
  <r>
    <s v="SFD-00372-284"/>
    <x v="440"/>
    <x v="760"/>
    <s v="L-M-0.2"/>
    <n v="2"/>
    <x v="760"/>
    <s v="oskermen3@hatena.ne.jp"/>
    <x v="0"/>
    <s v="Lib"/>
    <s v="M"/>
    <x v="3"/>
    <n v="4.3650000000000002"/>
    <n v="8.73"/>
    <x v="3"/>
    <x v="0"/>
    <x v="0"/>
    <n v="1.1349"/>
  </r>
  <r>
    <s v="SXC-62166-515"/>
    <x v="489"/>
    <x v="787"/>
    <s v="R-L-2.5"/>
    <n v="5"/>
    <x v="787"/>
    <s v="jreddochnt@sun.com"/>
    <x v="0"/>
    <s v="Rob"/>
    <s v="L"/>
    <x v="2"/>
    <n v="27.484999999999996"/>
    <n v="137.42499999999998"/>
    <x v="0"/>
    <x v="1"/>
    <x v="1"/>
    <n v="8.2454999999999998"/>
  </r>
  <r>
    <s v="YIE-87008-621"/>
    <x v="620"/>
    <x v="788"/>
    <s v="L-M-0.5"/>
    <n v="4"/>
    <x v="788"/>
    <s v="stitleynu@whitehouse.gov"/>
    <x v="0"/>
    <s v="Lib"/>
    <s v="M"/>
    <x v="1"/>
    <n v="8.73"/>
    <n v="34.92"/>
    <x v="3"/>
    <x v="0"/>
    <x v="1"/>
    <n v="4.5396000000000001"/>
  </r>
  <r>
    <s v="HRM-94548-288"/>
    <x v="621"/>
    <x v="789"/>
    <s v="A-L-2.5"/>
    <n v="6"/>
    <x v="789"/>
    <s v="rsimaonv@simplemachines.org"/>
    <x v="0"/>
    <s v="Ara"/>
    <s v="L"/>
    <x v="2"/>
    <n v="29.784999999999997"/>
    <n v="178.70999999999998"/>
    <x v="2"/>
    <x v="1"/>
    <x v="1"/>
    <n v="16.083899999999996"/>
  </r>
  <r>
    <s v="UJG-34731-295"/>
    <x v="374"/>
    <x v="790"/>
    <s v="A-M-2.5"/>
    <n v="1"/>
    <x v="790"/>
    <s v=""/>
    <x v="0"/>
    <s v="Ara"/>
    <s v="M"/>
    <x v="2"/>
    <n v="25.874999999999996"/>
    <n v="25.874999999999996"/>
    <x v="2"/>
    <x v="0"/>
    <x v="1"/>
    <n v="2.3287499999999994"/>
  </r>
  <r>
    <s v="TWD-70988-853"/>
    <x v="345"/>
    <x v="791"/>
    <s v="L-D-1"/>
    <n v="6"/>
    <x v="791"/>
    <s v="nchisholmnx@example.com"/>
    <x v="0"/>
    <s v="Lib"/>
    <s v="D"/>
    <x v="0"/>
    <n v="12.95"/>
    <n v="77.699999999999989"/>
    <x v="3"/>
    <x v="2"/>
    <x v="0"/>
    <n v="10.100999999999999"/>
  </r>
  <r>
    <s v="CIX-22904-641"/>
    <x v="622"/>
    <x v="792"/>
    <s v="R-M-1"/>
    <n v="1"/>
    <x v="792"/>
    <s v="goatsny@live.com"/>
    <x v="0"/>
    <s v="Rob"/>
    <s v="M"/>
    <x v="0"/>
    <n v="9.9499999999999993"/>
    <n v="9.9499999999999993"/>
    <x v="0"/>
    <x v="0"/>
    <x v="0"/>
    <n v="0.59699999999999998"/>
  </r>
  <r>
    <s v="DLV-65840-759"/>
    <x v="623"/>
    <x v="793"/>
    <s v="L-M-1"/>
    <n v="2"/>
    <x v="793"/>
    <s v="mbirkinnz@java.com"/>
    <x v="0"/>
    <s v="Lib"/>
    <s v="M"/>
    <x v="0"/>
    <n v="14.55"/>
    <n v="29.1"/>
    <x v="3"/>
    <x v="0"/>
    <x v="0"/>
    <n v="3.7830000000000004"/>
  </r>
  <r>
    <s v="RXN-55491-201"/>
    <x v="354"/>
    <x v="794"/>
    <s v="R-L-0.2"/>
    <n v="6"/>
    <x v="794"/>
    <s v="rpysono0@constantcontact.com"/>
    <x v="1"/>
    <s v="Rob"/>
    <s v="L"/>
    <x v="3"/>
    <n v="3.5849999999999995"/>
    <n v="21.509999999999998"/>
    <x v="0"/>
    <x v="1"/>
    <x v="1"/>
    <n v="1.2905999999999997"/>
  </r>
  <r>
    <s v="UHK-63283-868"/>
    <x v="624"/>
    <x v="795"/>
    <s v="A-M-0.5"/>
    <n v="1"/>
    <x v="795"/>
    <s v="mmacconnechieo9@reuters.com"/>
    <x v="0"/>
    <s v="Ara"/>
    <s v="M"/>
    <x v="1"/>
    <n v="6.75"/>
    <n v="6.75"/>
    <x v="2"/>
    <x v="0"/>
    <x v="0"/>
    <n v="0.60749999999999993"/>
  </r>
  <r>
    <s v="PJC-31401-893"/>
    <x v="561"/>
    <x v="796"/>
    <s v="A-D-0.5"/>
    <n v="3"/>
    <x v="796"/>
    <s v="rtreachero2@usa.gov"/>
    <x v="1"/>
    <s v="Ara"/>
    <s v="D"/>
    <x v="1"/>
    <n v="5.97"/>
    <n v="17.91"/>
    <x v="2"/>
    <x v="2"/>
    <x v="1"/>
    <n v="1.6118999999999999"/>
  </r>
  <r>
    <s v="HHO-79903-185"/>
    <x v="42"/>
    <x v="797"/>
    <s v="A-L-2.5"/>
    <n v="1"/>
    <x v="797"/>
    <s v="bfattorinio3@quantcast.com"/>
    <x v="1"/>
    <s v="Ara"/>
    <s v="L"/>
    <x v="2"/>
    <n v="29.784999999999997"/>
    <n v="29.784999999999997"/>
    <x v="2"/>
    <x v="1"/>
    <x v="0"/>
    <n v="2.6806499999999995"/>
  </r>
  <r>
    <s v="YWM-07310-594"/>
    <x v="267"/>
    <x v="798"/>
    <s v="E-M-0.5"/>
    <n v="5"/>
    <x v="798"/>
    <s v="mpalleskeo4@nyu.edu"/>
    <x v="0"/>
    <s v="Exc"/>
    <s v="M"/>
    <x v="1"/>
    <n v="8.25"/>
    <n v="41.25"/>
    <x v="1"/>
    <x v="0"/>
    <x v="0"/>
    <n v="4.5374999999999996"/>
  </r>
  <r>
    <s v="FHD-94983-982"/>
    <x v="625"/>
    <x v="799"/>
    <s v="R-M-0.5"/>
    <n v="3"/>
    <x v="799"/>
    <s v=""/>
    <x v="0"/>
    <s v="Rob"/>
    <s v="M"/>
    <x v="1"/>
    <n v="5.97"/>
    <n v="17.91"/>
    <x v="0"/>
    <x v="0"/>
    <x v="0"/>
    <n v="1.0745999999999998"/>
  </r>
  <r>
    <s v="WQK-10857-119"/>
    <x v="616"/>
    <x v="800"/>
    <s v="E-D-0.5"/>
    <n v="1"/>
    <x v="800"/>
    <s v="fantcliffeo6@amazon.co.jp"/>
    <x v="1"/>
    <s v="Exc"/>
    <s v="D"/>
    <x v="1"/>
    <n v="7.29"/>
    <n v="7.29"/>
    <x v="1"/>
    <x v="2"/>
    <x v="0"/>
    <n v="0.80190000000000006"/>
  </r>
  <r>
    <s v="DXA-50313-073"/>
    <x v="626"/>
    <x v="801"/>
    <s v="E-L-1"/>
    <n v="2"/>
    <x v="801"/>
    <s v="pmatignono7@harvard.edu"/>
    <x v="2"/>
    <s v="Exc"/>
    <s v="L"/>
    <x v="0"/>
    <n v="14.85"/>
    <n v="29.7"/>
    <x v="1"/>
    <x v="1"/>
    <x v="0"/>
    <n v="3.2669999999999999"/>
  </r>
  <r>
    <s v="ONW-00560-570"/>
    <x v="52"/>
    <x v="802"/>
    <s v="A-M-1"/>
    <n v="2"/>
    <x v="802"/>
    <s v="cweondo8@theglobeandmail.com"/>
    <x v="0"/>
    <s v="Ara"/>
    <s v="M"/>
    <x v="0"/>
    <n v="11.25"/>
    <n v="22.5"/>
    <x v="2"/>
    <x v="0"/>
    <x v="1"/>
    <n v="2.0249999999999999"/>
  </r>
  <r>
    <s v="BRJ-19414-277"/>
    <x v="622"/>
    <x v="795"/>
    <s v="R-M-0.2"/>
    <n v="4"/>
    <x v="795"/>
    <s v="mmacconnechieo9@reuters.com"/>
    <x v="0"/>
    <s v="Rob"/>
    <s v="M"/>
    <x v="3"/>
    <n v="2.9849999999999999"/>
    <n v="11.94"/>
    <x v="0"/>
    <x v="0"/>
    <x v="0"/>
    <n v="0.71639999999999993"/>
  </r>
  <r>
    <s v="MIQ-16322-908"/>
    <x v="627"/>
    <x v="803"/>
    <s v="A-L-1"/>
    <n v="2"/>
    <x v="803"/>
    <s v="jskentelberyoa@paypal.com"/>
    <x v="0"/>
    <s v="Ara"/>
    <s v="L"/>
    <x v="0"/>
    <n v="12.95"/>
    <n v="25.9"/>
    <x v="2"/>
    <x v="1"/>
    <x v="1"/>
    <n v="2.331"/>
  </r>
  <r>
    <s v="MVO-39328-830"/>
    <x v="628"/>
    <x v="804"/>
    <s v="L-M-0.5"/>
    <n v="5"/>
    <x v="804"/>
    <s v="ocomberob@goo.gl"/>
    <x v="1"/>
    <s v="Lib"/>
    <s v="M"/>
    <x v="1"/>
    <n v="8.73"/>
    <n v="43.650000000000006"/>
    <x v="3"/>
    <x v="0"/>
    <x v="1"/>
    <n v="5.6745000000000001"/>
  </r>
  <r>
    <s v="MVO-39328-830"/>
    <x v="628"/>
    <x v="804"/>
    <s v="A-L-0.5"/>
    <n v="6"/>
    <x v="804"/>
    <s v="ocomberob@goo.gl"/>
    <x v="1"/>
    <s v="Ara"/>
    <s v="L"/>
    <x v="1"/>
    <n v="7.77"/>
    <n v="46.62"/>
    <x v="2"/>
    <x v="1"/>
    <x v="1"/>
    <n v="4.1957999999999993"/>
  </r>
  <r>
    <s v="NTJ-88319-746"/>
    <x v="629"/>
    <x v="805"/>
    <s v="L-L-0.5"/>
    <n v="3"/>
    <x v="805"/>
    <s v="ztramelod@netlog.com"/>
    <x v="0"/>
    <s v="Lib"/>
    <s v="L"/>
    <x v="1"/>
    <n v="9.51"/>
    <n v="28.53"/>
    <x v="3"/>
    <x v="1"/>
    <x v="1"/>
    <n v="3.7088999999999999"/>
  </r>
  <r>
    <s v="LCY-24377-948"/>
    <x v="630"/>
    <x v="806"/>
    <s v="R-L-2.5"/>
    <n v="1"/>
    <x v="806"/>
    <s v=""/>
    <x v="0"/>
    <s v="Rob"/>
    <s v="L"/>
    <x v="2"/>
    <n v="27.484999999999996"/>
    <n v="27.484999999999996"/>
    <x v="0"/>
    <x v="1"/>
    <x v="0"/>
    <n v="1.6490999999999998"/>
  </r>
  <r>
    <s v="FWD-85967-769"/>
    <x v="631"/>
    <x v="807"/>
    <s v="E-D-0.2"/>
    <n v="3"/>
    <x v="807"/>
    <s v=""/>
    <x v="0"/>
    <s v="Exc"/>
    <s v="D"/>
    <x v="3"/>
    <n v="3.645"/>
    <n v="10.935"/>
    <x v="1"/>
    <x v="2"/>
    <x v="1"/>
    <n v="1.2028500000000002"/>
  </r>
  <r>
    <s v="KTO-53793-109"/>
    <x v="229"/>
    <x v="808"/>
    <s v="R-L-0.2"/>
    <n v="2"/>
    <x v="808"/>
    <s v="chatfullog@ebay.com"/>
    <x v="0"/>
    <s v="Rob"/>
    <s v="L"/>
    <x v="3"/>
    <n v="3.5849999999999995"/>
    <n v="7.169999999999999"/>
    <x v="0"/>
    <x v="1"/>
    <x v="1"/>
    <n v="0.43019999999999992"/>
  </r>
  <r>
    <s v="OCK-89033-348"/>
    <x v="632"/>
    <x v="809"/>
    <s v="A-L-0.2"/>
    <n v="6"/>
    <x v="809"/>
    <s v=""/>
    <x v="0"/>
    <s v="Ara"/>
    <s v="L"/>
    <x v="3"/>
    <n v="3.8849999999999998"/>
    <n v="23.31"/>
    <x v="2"/>
    <x v="1"/>
    <x v="0"/>
    <n v="2.0978999999999997"/>
  </r>
  <r>
    <s v="GPZ-36017-366"/>
    <x v="633"/>
    <x v="810"/>
    <s v="A-D-2.5"/>
    <n v="5"/>
    <x v="810"/>
    <s v="kmarrisonoq@dropbox.com"/>
    <x v="0"/>
    <s v="Ara"/>
    <s v="D"/>
    <x v="2"/>
    <n v="22.884999999999998"/>
    <n v="114.42499999999998"/>
    <x v="2"/>
    <x v="2"/>
    <x v="0"/>
    <n v="10.298249999999998"/>
  </r>
  <r>
    <s v="BZP-33213-637"/>
    <x v="95"/>
    <x v="811"/>
    <s v="A-M-2.5"/>
    <n v="3"/>
    <x v="811"/>
    <s v="lagnolooj@pinterest.com"/>
    <x v="0"/>
    <s v="Ara"/>
    <s v="M"/>
    <x v="2"/>
    <n v="25.874999999999996"/>
    <n v="77.624999999999986"/>
    <x v="2"/>
    <x v="0"/>
    <x v="0"/>
    <n v="6.9862499999999983"/>
  </r>
  <r>
    <s v="WFH-21507-708"/>
    <x v="521"/>
    <x v="812"/>
    <s v="R-D-0.5"/>
    <n v="1"/>
    <x v="812"/>
    <s v="dkiddyok@fda.gov"/>
    <x v="0"/>
    <s v="Rob"/>
    <s v="D"/>
    <x v="1"/>
    <n v="5.3699999999999992"/>
    <n v="5.3699999999999992"/>
    <x v="0"/>
    <x v="2"/>
    <x v="0"/>
    <n v="0.32219999999999993"/>
  </r>
  <r>
    <s v="HST-96923-073"/>
    <x v="76"/>
    <x v="813"/>
    <s v="R-D-2.5"/>
    <n v="6"/>
    <x v="813"/>
    <s v="hpetroulisol@state.tx.us"/>
    <x v="1"/>
    <s v="Rob"/>
    <s v="D"/>
    <x v="2"/>
    <n v="20.584999999999997"/>
    <n v="123.50999999999999"/>
    <x v="0"/>
    <x v="2"/>
    <x v="1"/>
    <n v="7.4105999999999987"/>
  </r>
  <r>
    <s v="ENN-79947-323"/>
    <x v="634"/>
    <x v="814"/>
    <s v="L-M-0.5"/>
    <n v="2"/>
    <x v="814"/>
    <s v="mschollom@taobao.com"/>
    <x v="0"/>
    <s v="Lib"/>
    <s v="M"/>
    <x v="1"/>
    <n v="8.73"/>
    <n v="17.46"/>
    <x v="3"/>
    <x v="0"/>
    <x v="1"/>
    <n v="2.2698"/>
  </r>
  <r>
    <s v="BHA-47429-889"/>
    <x v="635"/>
    <x v="815"/>
    <s v="E-L-0.2"/>
    <n v="3"/>
    <x v="815"/>
    <s v="kfersonon@g.co"/>
    <x v="0"/>
    <s v="Exc"/>
    <s v="L"/>
    <x v="3"/>
    <n v="4.4550000000000001"/>
    <n v="13.365"/>
    <x v="1"/>
    <x v="1"/>
    <x v="1"/>
    <n v="1.4701499999999998"/>
  </r>
  <r>
    <s v="SZY-63017-318"/>
    <x v="636"/>
    <x v="816"/>
    <s v="A-L-0.2"/>
    <n v="2"/>
    <x v="816"/>
    <s v="bkellowayoo@omniture.com"/>
    <x v="0"/>
    <s v="Ara"/>
    <s v="L"/>
    <x v="3"/>
    <n v="3.8849999999999998"/>
    <n v="7.77"/>
    <x v="2"/>
    <x v="1"/>
    <x v="0"/>
    <n v="0.69929999999999992"/>
  </r>
  <r>
    <s v="LCU-93317-340"/>
    <x v="637"/>
    <x v="817"/>
    <s v="R-D-0.2"/>
    <n v="1"/>
    <x v="817"/>
    <s v="soliffeop@yellowbook.com"/>
    <x v="0"/>
    <s v="Rob"/>
    <s v="D"/>
    <x v="3"/>
    <n v="2.6849999999999996"/>
    <n v="2.6849999999999996"/>
    <x v="0"/>
    <x v="2"/>
    <x v="0"/>
    <n v="0.16109999999999997"/>
  </r>
  <r>
    <s v="UOM-71431-481"/>
    <x v="182"/>
    <x v="810"/>
    <s v="R-D-2.5"/>
    <n v="1"/>
    <x v="810"/>
    <s v="kmarrisonoq@dropbox.com"/>
    <x v="0"/>
    <s v="Rob"/>
    <s v="D"/>
    <x v="2"/>
    <n v="20.584999999999997"/>
    <n v="20.584999999999997"/>
    <x v="0"/>
    <x v="2"/>
    <x v="0"/>
    <n v="1.2350999999999999"/>
  </r>
  <r>
    <s v="PJH-42618-877"/>
    <x v="479"/>
    <x v="818"/>
    <s v="A-D-2.5"/>
    <n v="5"/>
    <x v="818"/>
    <s v="cdolohuntyor@dailymail.co.uk"/>
    <x v="0"/>
    <s v="Ara"/>
    <s v="D"/>
    <x v="2"/>
    <n v="22.884999999999998"/>
    <n v="114.42499999999998"/>
    <x v="2"/>
    <x v="2"/>
    <x v="0"/>
    <n v="10.298249999999998"/>
  </r>
  <r>
    <s v="XED-90333-402"/>
    <x v="638"/>
    <x v="819"/>
    <s v="E-M-0.2"/>
    <n v="5"/>
    <x v="819"/>
    <s v="pvasilenkoos@addtoany.com"/>
    <x v="2"/>
    <s v="Exc"/>
    <s v="M"/>
    <x v="3"/>
    <n v="4.125"/>
    <n v="20.625"/>
    <x v="1"/>
    <x v="0"/>
    <x v="1"/>
    <n v="2.2687499999999998"/>
  </r>
  <r>
    <s v="IKK-62234-199"/>
    <x v="639"/>
    <x v="820"/>
    <s v="L-L-0.5"/>
    <n v="6"/>
    <x v="820"/>
    <s v="rschankelborgot@ameblo.jp"/>
    <x v="0"/>
    <s v="Lib"/>
    <s v="L"/>
    <x v="1"/>
    <n v="9.51"/>
    <n v="57.06"/>
    <x v="3"/>
    <x v="1"/>
    <x v="0"/>
    <n v="7.4177999999999997"/>
  </r>
  <r>
    <s v="KAW-95195-329"/>
    <x v="640"/>
    <x v="821"/>
    <s v="R-D-2.5"/>
    <n v="4"/>
    <x v="821"/>
    <s v=""/>
    <x v="1"/>
    <s v="Rob"/>
    <s v="D"/>
    <x v="2"/>
    <n v="20.584999999999997"/>
    <n v="82.339999999999989"/>
    <x v="0"/>
    <x v="2"/>
    <x v="0"/>
    <n v="4.9403999999999995"/>
  </r>
  <r>
    <s v="QDO-57268-842"/>
    <x v="612"/>
    <x v="822"/>
    <s v="E-M-2.5"/>
    <n v="5"/>
    <x v="822"/>
    <s v=""/>
    <x v="0"/>
    <s v="Exc"/>
    <s v="M"/>
    <x v="2"/>
    <n v="31.624999999999996"/>
    <n v="158.12499999999997"/>
    <x v="1"/>
    <x v="0"/>
    <x v="1"/>
    <n v="17.393749999999997"/>
  </r>
  <r>
    <s v="IIZ-24416-212"/>
    <x v="641"/>
    <x v="823"/>
    <s v="R-D-0.5"/>
    <n v="6"/>
    <x v="823"/>
    <s v="bcargenow@geocities.jp"/>
    <x v="0"/>
    <s v="Rob"/>
    <s v="D"/>
    <x v="1"/>
    <n v="5.3699999999999992"/>
    <n v="32.22"/>
    <x v="0"/>
    <x v="2"/>
    <x v="0"/>
    <n v="1.9331999999999996"/>
  </r>
  <r>
    <s v="AWP-11469-510"/>
    <x v="36"/>
    <x v="824"/>
    <s v="E-D-1"/>
    <n v="2"/>
    <x v="824"/>
    <s v="rsticklerox@printfriendly.com"/>
    <x v="2"/>
    <s v="Exc"/>
    <s v="D"/>
    <x v="0"/>
    <n v="12.15"/>
    <n v="24.3"/>
    <x v="1"/>
    <x v="2"/>
    <x v="1"/>
    <n v="2.673"/>
  </r>
  <r>
    <s v="KXA-27983-918"/>
    <x v="642"/>
    <x v="825"/>
    <s v="R-L-0.5"/>
    <n v="5"/>
    <x v="825"/>
    <s v=""/>
    <x v="0"/>
    <s v="Rob"/>
    <s v="L"/>
    <x v="1"/>
    <n v="7.169999999999999"/>
    <n v="35.849999999999994"/>
    <x v="0"/>
    <x v="1"/>
    <x v="1"/>
    <n v="2.1509999999999998"/>
  </r>
  <r>
    <s v="VKQ-39009-292"/>
    <x v="219"/>
    <x v="822"/>
    <s v="L-M-1"/>
    <n v="5"/>
    <x v="822"/>
    <s v=""/>
    <x v="0"/>
    <s v="Lib"/>
    <s v="M"/>
    <x v="0"/>
    <n v="14.55"/>
    <n v="72.75"/>
    <x v="3"/>
    <x v="0"/>
    <x v="1"/>
    <n v="9.4575000000000014"/>
  </r>
  <r>
    <s v="PDB-98743-282"/>
    <x v="643"/>
    <x v="826"/>
    <s v="L-L-1"/>
    <n v="3"/>
    <x v="826"/>
    <s v=""/>
    <x v="1"/>
    <s v="Lib"/>
    <s v="L"/>
    <x v="0"/>
    <n v="15.85"/>
    <n v="47.55"/>
    <x v="3"/>
    <x v="1"/>
    <x v="1"/>
    <n v="6.1815000000000007"/>
  </r>
  <r>
    <s v="SXW-34014-556"/>
    <x v="644"/>
    <x v="827"/>
    <s v="R-L-0.2"/>
    <n v="1"/>
    <x v="827"/>
    <s v="djevonp1@ibm.com"/>
    <x v="0"/>
    <s v="Rob"/>
    <s v="L"/>
    <x v="3"/>
    <n v="3.5849999999999995"/>
    <n v="3.5849999999999995"/>
    <x v="0"/>
    <x v="1"/>
    <x v="0"/>
    <n v="0.21509999999999996"/>
  </r>
  <r>
    <s v="QOJ-38788-727"/>
    <x v="136"/>
    <x v="828"/>
    <s v="E-M-2.5"/>
    <n v="5"/>
    <x v="828"/>
    <s v="hrannerp2@omniture.com"/>
    <x v="0"/>
    <s v="Exc"/>
    <s v="M"/>
    <x v="2"/>
    <n v="31.624999999999996"/>
    <n v="158.12499999999997"/>
    <x v="1"/>
    <x v="0"/>
    <x v="1"/>
    <n v="17.393749999999997"/>
  </r>
  <r>
    <s v="TGF-38649-658"/>
    <x v="645"/>
    <x v="829"/>
    <s v="L-M-0.5"/>
    <n v="2"/>
    <x v="829"/>
    <s v="bimriep3@addtoany.com"/>
    <x v="0"/>
    <s v="Lib"/>
    <s v="M"/>
    <x v="1"/>
    <n v="8.73"/>
    <n v="17.46"/>
    <x v="3"/>
    <x v="0"/>
    <x v="1"/>
    <n v="2.2698"/>
  </r>
  <r>
    <s v="EAI-25194-209"/>
    <x v="646"/>
    <x v="830"/>
    <s v="A-L-2.5"/>
    <n v="5"/>
    <x v="830"/>
    <s v="dsopperp4@eventbrite.com"/>
    <x v="0"/>
    <s v="Ara"/>
    <s v="L"/>
    <x v="2"/>
    <n v="29.784999999999997"/>
    <n v="148.92499999999998"/>
    <x v="2"/>
    <x v="1"/>
    <x v="1"/>
    <n v="13.403249999999998"/>
  </r>
  <r>
    <s v="IJK-34441-720"/>
    <x v="647"/>
    <x v="831"/>
    <s v="A-M-0.5"/>
    <n v="6"/>
    <x v="831"/>
    <s v=""/>
    <x v="0"/>
    <s v="Ara"/>
    <s v="M"/>
    <x v="1"/>
    <n v="6.75"/>
    <n v="40.5"/>
    <x v="2"/>
    <x v="0"/>
    <x v="0"/>
    <n v="3.6449999999999996"/>
  </r>
  <r>
    <s v="ZMC-00336-619"/>
    <x v="591"/>
    <x v="832"/>
    <s v="A-M-0.5"/>
    <n v="4"/>
    <x v="832"/>
    <s v="lledgleyp6@de.vu"/>
    <x v="0"/>
    <s v="Ara"/>
    <s v="M"/>
    <x v="1"/>
    <n v="6.75"/>
    <n v="27"/>
    <x v="2"/>
    <x v="0"/>
    <x v="0"/>
    <n v="2.4299999999999997"/>
  </r>
  <r>
    <s v="UPX-54529-618"/>
    <x v="648"/>
    <x v="833"/>
    <s v="L-D-1"/>
    <n v="3"/>
    <x v="833"/>
    <s v="tmenaryp7@phoca.cz"/>
    <x v="0"/>
    <s v="Lib"/>
    <s v="D"/>
    <x v="0"/>
    <n v="12.95"/>
    <n v="38.849999999999994"/>
    <x v="3"/>
    <x v="2"/>
    <x v="1"/>
    <n v="5.0504999999999995"/>
  </r>
  <r>
    <s v="DLX-01059-899"/>
    <x v="191"/>
    <x v="834"/>
    <s v="R-L-1"/>
    <n v="5"/>
    <x v="834"/>
    <s v="gciccottip8@so-net.ne.jp"/>
    <x v="0"/>
    <s v="Rob"/>
    <s v="L"/>
    <x v="0"/>
    <n v="11.95"/>
    <n v="59.75"/>
    <x v="0"/>
    <x v="1"/>
    <x v="1"/>
    <n v="3.585"/>
  </r>
  <r>
    <s v="MEK-85120-243"/>
    <x v="649"/>
    <x v="835"/>
    <s v="R-L-0.2"/>
    <n v="3"/>
    <x v="835"/>
    <s v=""/>
    <x v="0"/>
    <s v="Rob"/>
    <s v="L"/>
    <x v="3"/>
    <n v="3.5849999999999995"/>
    <n v="10.754999999999999"/>
    <x v="0"/>
    <x v="1"/>
    <x v="1"/>
    <n v="0.64529999999999987"/>
  </r>
  <r>
    <s v="NFI-37188-246"/>
    <x v="553"/>
    <x v="836"/>
    <s v="A-D-2.5"/>
    <n v="4"/>
    <x v="836"/>
    <s v="wjallinpa@pcworld.com"/>
    <x v="0"/>
    <s v="Ara"/>
    <s v="D"/>
    <x v="2"/>
    <n v="22.884999999999998"/>
    <n v="91.539999999999992"/>
    <x v="2"/>
    <x v="2"/>
    <x v="1"/>
    <n v="8.2385999999999981"/>
  </r>
  <r>
    <s v="BXH-62195-013"/>
    <x v="584"/>
    <x v="837"/>
    <s v="A-M-1"/>
    <n v="4"/>
    <x v="837"/>
    <s v="mbogeypb@thetimes.co.uk"/>
    <x v="0"/>
    <s v="Ara"/>
    <s v="M"/>
    <x v="0"/>
    <n v="11.25"/>
    <n v="45"/>
    <x v="2"/>
    <x v="0"/>
    <x v="0"/>
    <n v="4.05"/>
  </r>
  <r>
    <s v="YLK-78851-470"/>
    <x v="650"/>
    <x v="838"/>
    <s v="R-M-2.5"/>
    <n v="6"/>
    <x v="838"/>
    <s v=""/>
    <x v="0"/>
    <s v="Rob"/>
    <s v="M"/>
    <x v="2"/>
    <n v="22.884999999999998"/>
    <n v="137.31"/>
    <x v="0"/>
    <x v="0"/>
    <x v="0"/>
    <n v="8.2385999999999981"/>
  </r>
  <r>
    <s v="DXY-76225-633"/>
    <x v="121"/>
    <x v="839"/>
    <s v="A-M-0.5"/>
    <n v="1"/>
    <x v="839"/>
    <s v="mcobbledickpd@ucsd.edu"/>
    <x v="0"/>
    <s v="Ara"/>
    <s v="M"/>
    <x v="1"/>
    <n v="6.75"/>
    <n v="6.75"/>
    <x v="2"/>
    <x v="0"/>
    <x v="1"/>
    <n v="0.60749999999999993"/>
  </r>
  <r>
    <s v="UHP-24614-199"/>
    <x v="472"/>
    <x v="840"/>
    <s v="A-M-1"/>
    <n v="4"/>
    <x v="840"/>
    <s v="alewrype@whitehouse.gov"/>
    <x v="0"/>
    <s v="Ara"/>
    <s v="M"/>
    <x v="0"/>
    <n v="11.25"/>
    <n v="45"/>
    <x v="2"/>
    <x v="0"/>
    <x v="1"/>
    <n v="4.05"/>
  </r>
  <r>
    <s v="HBY-35655-049"/>
    <x v="594"/>
    <x v="841"/>
    <s v="E-D-2.5"/>
    <n v="3"/>
    <x v="841"/>
    <s v="ihesselpf@ox.ac.uk"/>
    <x v="0"/>
    <s v="Exc"/>
    <s v="D"/>
    <x v="2"/>
    <n v="27.945"/>
    <n v="83.835000000000008"/>
    <x v="1"/>
    <x v="2"/>
    <x v="0"/>
    <n v="9.2218499999999999"/>
  </r>
  <r>
    <s v="DCE-22886-861"/>
    <x v="89"/>
    <x v="842"/>
    <s v="E-D-0.2"/>
    <n v="1"/>
    <x v="842"/>
    <s v=""/>
    <x v="1"/>
    <s v="Exc"/>
    <s v="D"/>
    <x v="3"/>
    <n v="3.645"/>
    <n v="3.645"/>
    <x v="1"/>
    <x v="2"/>
    <x v="0"/>
    <n v="0.40095000000000003"/>
  </r>
  <r>
    <s v="QTG-93823-843"/>
    <x v="651"/>
    <x v="843"/>
    <s v="A-M-0.5"/>
    <n v="1"/>
    <x v="843"/>
    <s v="csorrellph@amazon.com"/>
    <x v="2"/>
    <s v="Ara"/>
    <s v="M"/>
    <x v="1"/>
    <n v="6.75"/>
    <n v="6.75"/>
    <x v="2"/>
    <x v="0"/>
    <x v="1"/>
    <n v="0.60749999999999993"/>
  </r>
  <r>
    <s v="QTG-93823-843"/>
    <x v="651"/>
    <x v="843"/>
    <s v="E-D-0.5"/>
    <n v="3"/>
    <x v="843"/>
    <s v="csorrellph@amazon.com"/>
    <x v="2"/>
    <s v="Exc"/>
    <s v="D"/>
    <x v="1"/>
    <n v="7.29"/>
    <n v="21.87"/>
    <x v="1"/>
    <x v="2"/>
    <x v="1"/>
    <n v="2.4057000000000004"/>
  </r>
  <r>
    <s v="WFT-16178-396"/>
    <x v="249"/>
    <x v="844"/>
    <s v="R-D-0.2"/>
    <n v="5"/>
    <x v="844"/>
    <s v="qheavysidepj@unc.edu"/>
    <x v="0"/>
    <s v="Rob"/>
    <s v="D"/>
    <x v="3"/>
    <n v="2.6849999999999996"/>
    <n v="13.424999999999997"/>
    <x v="0"/>
    <x v="2"/>
    <x v="0"/>
    <n v="0.80549999999999988"/>
  </r>
  <r>
    <s v="ERC-54560-934"/>
    <x v="652"/>
    <x v="845"/>
    <s v="R-D-2.5"/>
    <n v="6"/>
    <x v="845"/>
    <s v="hreuvenpk@whitehouse.gov"/>
    <x v="0"/>
    <s v="Rob"/>
    <s v="D"/>
    <x v="2"/>
    <n v="20.584999999999997"/>
    <n v="123.50999999999999"/>
    <x v="0"/>
    <x v="2"/>
    <x v="1"/>
    <n v="7.4105999999999987"/>
  </r>
  <r>
    <s v="RUK-78200-416"/>
    <x v="653"/>
    <x v="846"/>
    <s v="L-D-0.2"/>
    <n v="2"/>
    <x v="846"/>
    <s v="mattwoolpl@nba.com"/>
    <x v="0"/>
    <s v="Lib"/>
    <s v="D"/>
    <x v="3"/>
    <n v="3.8849999999999998"/>
    <n v="7.77"/>
    <x v="3"/>
    <x v="2"/>
    <x v="1"/>
    <n v="1.0101"/>
  </r>
  <r>
    <s v="KHK-13105-388"/>
    <x v="177"/>
    <x v="847"/>
    <s v="A-M-1"/>
    <n v="6"/>
    <x v="847"/>
    <s v=""/>
    <x v="0"/>
    <s v="Ara"/>
    <s v="M"/>
    <x v="0"/>
    <n v="11.25"/>
    <n v="67.5"/>
    <x v="2"/>
    <x v="0"/>
    <x v="0"/>
    <n v="6.0749999999999993"/>
  </r>
  <r>
    <s v="NJR-03699-189"/>
    <x v="22"/>
    <x v="848"/>
    <s v="E-D-2.5"/>
    <n v="1"/>
    <x v="848"/>
    <s v="gwynespn@dagondesign.com"/>
    <x v="0"/>
    <s v="Exc"/>
    <s v="D"/>
    <x v="2"/>
    <n v="27.945"/>
    <n v="27.945"/>
    <x v="1"/>
    <x v="2"/>
    <x v="1"/>
    <n v="3.07395"/>
  </r>
  <r>
    <s v="PJV-20427-019"/>
    <x v="508"/>
    <x v="849"/>
    <s v="A-L-2.5"/>
    <n v="3"/>
    <x v="849"/>
    <s v="cmaccourtpo@amazon.com"/>
    <x v="0"/>
    <s v="Ara"/>
    <s v="L"/>
    <x v="2"/>
    <n v="29.784999999999997"/>
    <n v="89.35499999999999"/>
    <x v="2"/>
    <x v="1"/>
    <x v="1"/>
    <n v="8.0419499999999982"/>
  </r>
  <r>
    <s v="UGK-07613-982"/>
    <x v="654"/>
    <x v="822"/>
    <s v="A-M-0.5"/>
    <n v="3"/>
    <x v="822"/>
    <s v=""/>
    <x v="0"/>
    <s v="Ara"/>
    <s v="M"/>
    <x v="1"/>
    <n v="6.75"/>
    <n v="20.25"/>
    <x v="2"/>
    <x v="0"/>
    <x v="1"/>
    <n v="1.8224999999999998"/>
  </r>
  <r>
    <s v="OLA-68289-577"/>
    <x v="524"/>
    <x v="850"/>
    <s v="A-M-0.5"/>
    <n v="5"/>
    <x v="850"/>
    <s v="ewilsonepq@eepurl.com"/>
    <x v="0"/>
    <s v="Ara"/>
    <s v="M"/>
    <x v="1"/>
    <n v="6.75"/>
    <n v="33.75"/>
    <x v="2"/>
    <x v="0"/>
    <x v="0"/>
    <n v="3.0374999999999996"/>
  </r>
  <r>
    <s v="TNR-84447-052"/>
    <x v="655"/>
    <x v="851"/>
    <s v="E-D-2.5"/>
    <n v="4"/>
    <x v="851"/>
    <s v="dduffiepr@time.com"/>
    <x v="0"/>
    <s v="Exc"/>
    <s v="D"/>
    <x v="2"/>
    <n v="27.945"/>
    <n v="111.78"/>
    <x v="1"/>
    <x v="2"/>
    <x v="1"/>
    <n v="12.2958"/>
  </r>
  <r>
    <s v="FBZ-64200-586"/>
    <x v="523"/>
    <x v="852"/>
    <s v="E-M-2.5"/>
    <n v="2"/>
    <x v="852"/>
    <s v="mmatiasekps@ucoz.ru"/>
    <x v="0"/>
    <s v="Exc"/>
    <s v="M"/>
    <x v="2"/>
    <n v="31.624999999999996"/>
    <n v="63.249999999999993"/>
    <x v="1"/>
    <x v="0"/>
    <x v="0"/>
    <n v="6.9574999999999996"/>
  </r>
  <r>
    <s v="OBN-66334-505"/>
    <x v="656"/>
    <x v="853"/>
    <s v="E-L-0.2"/>
    <n v="2"/>
    <x v="853"/>
    <s v="jcamillopt@shinystat.com"/>
    <x v="0"/>
    <s v="Exc"/>
    <s v="L"/>
    <x v="3"/>
    <n v="4.4550000000000001"/>
    <n v="8.91"/>
    <x v="1"/>
    <x v="1"/>
    <x v="0"/>
    <n v="0.98009999999999997"/>
  </r>
  <r>
    <s v="NXM-89323-646"/>
    <x v="657"/>
    <x v="854"/>
    <s v="E-D-1"/>
    <n v="1"/>
    <x v="854"/>
    <s v="kphilbrickpu@cdc.gov"/>
    <x v="0"/>
    <s v="Exc"/>
    <s v="D"/>
    <x v="0"/>
    <n v="12.15"/>
    <n v="12.15"/>
    <x v="1"/>
    <x v="2"/>
    <x v="0"/>
    <n v="1.3365"/>
  </r>
  <r>
    <s v="NHI-23264-055"/>
    <x v="658"/>
    <x v="855"/>
    <s v="A-D-0.5"/>
    <n v="4"/>
    <x v="855"/>
    <s v=""/>
    <x v="0"/>
    <s v="Ara"/>
    <s v="D"/>
    <x v="1"/>
    <n v="5.97"/>
    <n v="23.88"/>
    <x v="2"/>
    <x v="2"/>
    <x v="0"/>
    <n v="2.1492"/>
  </r>
  <r>
    <s v="EQH-53569-934"/>
    <x v="659"/>
    <x v="856"/>
    <s v="E-M-1"/>
    <n v="4"/>
    <x v="856"/>
    <s v="bsillispw@istockphoto.com"/>
    <x v="0"/>
    <s v="Exc"/>
    <s v="M"/>
    <x v="0"/>
    <n v="13.75"/>
    <n v="55"/>
    <x v="1"/>
    <x v="0"/>
    <x v="1"/>
    <n v="6.05"/>
  </r>
  <r>
    <s v="XKK-06692-189"/>
    <x v="558"/>
    <x v="857"/>
    <s v="R-D-1"/>
    <n v="3"/>
    <x v="857"/>
    <s v=""/>
    <x v="0"/>
    <s v="Rob"/>
    <s v="D"/>
    <x v="0"/>
    <n v="8.9499999999999993"/>
    <n v="26.849999999999998"/>
    <x v="0"/>
    <x v="2"/>
    <x v="0"/>
    <n v="1.6109999999999998"/>
  </r>
  <r>
    <s v="BYP-16005-016"/>
    <x v="660"/>
    <x v="858"/>
    <s v="R-M-2.5"/>
    <n v="5"/>
    <x v="858"/>
    <s v="rcuttspy@techcrunch.com"/>
    <x v="0"/>
    <s v="Rob"/>
    <s v="M"/>
    <x v="2"/>
    <n v="22.884999999999998"/>
    <n v="114.42499999999998"/>
    <x v="0"/>
    <x v="0"/>
    <x v="1"/>
    <n v="6.865499999999999"/>
  </r>
  <r>
    <s v="LWS-13938-905"/>
    <x v="661"/>
    <x v="859"/>
    <s v="A-M-2.5"/>
    <n v="6"/>
    <x v="859"/>
    <s v="mdelvespz@nature.com"/>
    <x v="0"/>
    <s v="Ara"/>
    <s v="M"/>
    <x v="2"/>
    <n v="25.874999999999996"/>
    <n v="155.24999999999997"/>
    <x v="2"/>
    <x v="0"/>
    <x v="0"/>
    <n v="13.972499999999997"/>
  </r>
  <r>
    <s v="OLH-95722-362"/>
    <x v="662"/>
    <x v="860"/>
    <s v="L-D-0.5"/>
    <n v="3"/>
    <x v="860"/>
    <s v="dgrittonq0@nydailynews.com"/>
    <x v="0"/>
    <s v="Lib"/>
    <s v="D"/>
    <x v="1"/>
    <n v="7.77"/>
    <n v="23.31"/>
    <x v="3"/>
    <x v="2"/>
    <x v="0"/>
    <n v="3.0303"/>
  </r>
  <r>
    <s v="OLH-95722-362"/>
    <x v="662"/>
    <x v="860"/>
    <s v="R-M-2.5"/>
    <n v="4"/>
    <x v="860"/>
    <s v="dgrittonq0@nydailynews.com"/>
    <x v="0"/>
    <s v="Rob"/>
    <s v="M"/>
    <x v="2"/>
    <n v="22.884999999999998"/>
    <n v="91.539999999999992"/>
    <x v="0"/>
    <x v="0"/>
    <x v="0"/>
    <n v="5.4923999999999991"/>
  </r>
  <r>
    <s v="KCW-50949-318"/>
    <x v="184"/>
    <x v="861"/>
    <s v="E-L-1"/>
    <n v="5"/>
    <x v="861"/>
    <s v="dgutq2@umich.edu"/>
    <x v="0"/>
    <s v="Exc"/>
    <s v="L"/>
    <x v="0"/>
    <n v="14.85"/>
    <n v="74.25"/>
    <x v="1"/>
    <x v="1"/>
    <x v="0"/>
    <n v="8.1675000000000004"/>
  </r>
  <r>
    <s v="JGZ-16947-591"/>
    <x v="663"/>
    <x v="862"/>
    <s v="L-L-0.2"/>
    <n v="6"/>
    <x v="862"/>
    <s v="wpummeryq3@topsy.com"/>
    <x v="0"/>
    <s v="Lib"/>
    <s v="L"/>
    <x v="3"/>
    <n v="4.7549999999999999"/>
    <n v="28.53"/>
    <x v="3"/>
    <x v="1"/>
    <x v="1"/>
    <n v="3.7088999999999999"/>
  </r>
  <r>
    <s v="LXS-63326-144"/>
    <x v="334"/>
    <x v="863"/>
    <s v="R-L-0.5"/>
    <n v="2"/>
    <x v="863"/>
    <s v="gsiudaq4@nytimes.com"/>
    <x v="0"/>
    <s v="Rob"/>
    <s v="L"/>
    <x v="1"/>
    <n v="7.169999999999999"/>
    <n v="14.339999999999998"/>
    <x v="0"/>
    <x v="1"/>
    <x v="0"/>
    <n v="0.86039999999999983"/>
  </r>
  <r>
    <s v="CZG-86544-655"/>
    <x v="664"/>
    <x v="864"/>
    <s v="A-L-0.5"/>
    <n v="2"/>
    <x v="864"/>
    <s v="hcrowneq5@wufoo.com"/>
    <x v="1"/>
    <s v="Ara"/>
    <s v="L"/>
    <x v="1"/>
    <n v="7.77"/>
    <n v="15.54"/>
    <x v="2"/>
    <x v="1"/>
    <x v="0"/>
    <n v="1.3985999999999998"/>
  </r>
  <r>
    <s v="WFV-88138-247"/>
    <x v="24"/>
    <x v="865"/>
    <s v="R-L-1"/>
    <n v="3"/>
    <x v="865"/>
    <s v="vpawseyq6@tiny.cc"/>
    <x v="0"/>
    <s v="Rob"/>
    <s v="L"/>
    <x v="0"/>
    <n v="11.95"/>
    <n v="35.849999999999994"/>
    <x v="0"/>
    <x v="1"/>
    <x v="1"/>
    <n v="2.1509999999999998"/>
  </r>
  <r>
    <s v="RFG-28227-288"/>
    <x v="12"/>
    <x v="866"/>
    <s v="A-L-0.5"/>
    <n v="6"/>
    <x v="866"/>
    <s v="awaterhouseq7@istockphoto.com"/>
    <x v="0"/>
    <s v="Ara"/>
    <s v="L"/>
    <x v="1"/>
    <n v="7.77"/>
    <n v="46.62"/>
    <x v="2"/>
    <x v="1"/>
    <x v="1"/>
    <n v="4.1957999999999993"/>
  </r>
  <r>
    <s v="QAK-77286-758"/>
    <x v="105"/>
    <x v="867"/>
    <s v="R-L-0.5"/>
    <n v="5"/>
    <x v="867"/>
    <s v="fhaughianq8@1688.com"/>
    <x v="0"/>
    <s v="Rob"/>
    <s v="L"/>
    <x v="1"/>
    <n v="7.169999999999999"/>
    <n v="35.849999999999994"/>
    <x v="0"/>
    <x v="1"/>
    <x v="1"/>
    <n v="2.1509999999999998"/>
  </r>
  <r>
    <s v="CZD-56716-840"/>
    <x v="665"/>
    <x v="868"/>
    <s v="L-D-2.5"/>
    <n v="4"/>
    <x v="868"/>
    <s v=""/>
    <x v="0"/>
    <s v="Lib"/>
    <s v="D"/>
    <x v="2"/>
    <n v="29.784999999999997"/>
    <n v="119.13999999999999"/>
    <x v="3"/>
    <x v="2"/>
    <x v="1"/>
    <n v="15.488199999999999"/>
  </r>
  <r>
    <s v="UBI-59229-277"/>
    <x v="44"/>
    <x v="869"/>
    <s v="L-D-0.5"/>
    <n v="3"/>
    <x v="869"/>
    <s v=""/>
    <x v="0"/>
    <s v="Lib"/>
    <s v="D"/>
    <x v="1"/>
    <n v="7.77"/>
    <n v="23.31"/>
    <x v="3"/>
    <x v="2"/>
    <x v="1"/>
    <n v="3.0303"/>
  </r>
  <r>
    <s v="WJJ-37489-898"/>
    <x v="171"/>
    <x v="870"/>
    <s v="A-M-1"/>
    <n v="1"/>
    <x v="870"/>
    <s v="rfaltinqb@topsy.com"/>
    <x v="1"/>
    <s v="Ara"/>
    <s v="M"/>
    <x v="0"/>
    <n v="11.25"/>
    <n v="11.25"/>
    <x v="2"/>
    <x v="0"/>
    <x v="1"/>
    <n v="1.0125"/>
  </r>
  <r>
    <s v="ORX-57454-917"/>
    <x v="328"/>
    <x v="871"/>
    <s v="E-D-2.5"/>
    <n v="3"/>
    <x v="871"/>
    <s v="gcheekeqc@sitemeter.com"/>
    <x v="2"/>
    <s v="Exc"/>
    <s v="D"/>
    <x v="2"/>
    <n v="27.945"/>
    <n v="83.835000000000008"/>
    <x v="1"/>
    <x v="2"/>
    <x v="0"/>
    <n v="9.2218499999999999"/>
  </r>
  <r>
    <s v="GRB-68838-629"/>
    <x v="648"/>
    <x v="872"/>
    <s v="R-L-2.5"/>
    <n v="4"/>
    <x v="872"/>
    <s v="grattqd@phpbb.com"/>
    <x v="1"/>
    <s v="Rob"/>
    <s v="L"/>
    <x v="2"/>
    <n v="27.484999999999996"/>
    <n v="109.93999999999998"/>
    <x v="0"/>
    <x v="1"/>
    <x v="1"/>
    <n v="6.5963999999999992"/>
  </r>
  <r>
    <s v="SHT-04865-419"/>
    <x v="666"/>
    <x v="873"/>
    <s v="R-L-0.2"/>
    <n v="4"/>
    <x v="873"/>
    <s v=""/>
    <x v="0"/>
    <s v="Rob"/>
    <s v="L"/>
    <x v="3"/>
    <n v="3.5849999999999995"/>
    <n v="14.339999999999998"/>
    <x v="0"/>
    <x v="1"/>
    <x v="0"/>
    <n v="0.86039999999999983"/>
  </r>
  <r>
    <s v="UQI-28177-865"/>
    <x v="577"/>
    <x v="874"/>
    <s v="R-L-0.2"/>
    <n v="6"/>
    <x v="874"/>
    <s v="ieberleinqf@hc360.com"/>
    <x v="0"/>
    <s v="Rob"/>
    <s v="L"/>
    <x v="3"/>
    <n v="3.5849999999999995"/>
    <n v="21.509999999999998"/>
    <x v="0"/>
    <x v="1"/>
    <x v="1"/>
    <n v="1.2905999999999997"/>
  </r>
  <r>
    <s v="OIB-13664-879"/>
    <x v="114"/>
    <x v="875"/>
    <s v="A-M-1"/>
    <n v="2"/>
    <x v="875"/>
    <s v="jdrengqg@uiuc.edu"/>
    <x v="1"/>
    <s v="Ara"/>
    <s v="M"/>
    <x v="0"/>
    <n v="11.25"/>
    <n v="22.5"/>
    <x v="2"/>
    <x v="0"/>
    <x v="0"/>
    <n v="2.0249999999999999"/>
  </r>
  <r>
    <s v="PJS-30996-485"/>
    <x v="4"/>
    <x v="857"/>
    <s v="A-L-0.2"/>
    <n v="1"/>
    <x v="857"/>
    <s v=""/>
    <x v="0"/>
    <s v="Ara"/>
    <s v="L"/>
    <x v="3"/>
    <n v="3.8849999999999998"/>
    <n v="3.8849999999999998"/>
    <x v="2"/>
    <x v="1"/>
    <x v="0"/>
    <n v="0.34964999999999996"/>
  </r>
  <r>
    <s v="HEL-86709-449"/>
    <x v="667"/>
    <x v="857"/>
    <s v="E-D-2.5"/>
    <n v="1"/>
    <x v="857"/>
    <s v=""/>
    <x v="0"/>
    <s v="Exc"/>
    <s v="D"/>
    <x v="2"/>
    <n v="27.945"/>
    <n v="27.945"/>
    <x v="1"/>
    <x v="2"/>
    <x v="0"/>
    <n v="3.07395"/>
  </r>
  <r>
    <s v="NCH-55389-562"/>
    <x v="110"/>
    <x v="857"/>
    <s v="E-L-2.5"/>
    <n v="5"/>
    <x v="857"/>
    <s v=""/>
    <x v="0"/>
    <s v="Exc"/>
    <s v="L"/>
    <x v="2"/>
    <n v="34.154999999999994"/>
    <n v="170.77499999999998"/>
    <x v="1"/>
    <x v="1"/>
    <x v="0"/>
    <n v="18.785249999999998"/>
  </r>
  <r>
    <s v="NCH-55389-562"/>
    <x v="110"/>
    <x v="857"/>
    <s v="R-L-2.5"/>
    <n v="2"/>
    <x v="857"/>
    <s v=""/>
    <x v="0"/>
    <s v="Rob"/>
    <s v="L"/>
    <x v="2"/>
    <n v="27.484999999999996"/>
    <n v="54.969999999999992"/>
    <x v="0"/>
    <x v="1"/>
    <x v="0"/>
    <n v="3.2981999999999996"/>
  </r>
  <r>
    <s v="NCH-55389-562"/>
    <x v="110"/>
    <x v="857"/>
    <s v="E-L-1"/>
    <n v="1"/>
    <x v="857"/>
    <s v=""/>
    <x v="0"/>
    <s v="Exc"/>
    <s v="L"/>
    <x v="0"/>
    <n v="14.85"/>
    <n v="14.85"/>
    <x v="1"/>
    <x v="1"/>
    <x v="0"/>
    <n v="1.6335"/>
  </r>
  <r>
    <s v="NCH-55389-562"/>
    <x v="110"/>
    <x v="857"/>
    <s v="A-L-0.2"/>
    <n v="2"/>
    <x v="857"/>
    <s v=""/>
    <x v="0"/>
    <s v="Ara"/>
    <s v="L"/>
    <x v="3"/>
    <n v="3.8849999999999998"/>
    <n v="7.77"/>
    <x v="2"/>
    <x v="1"/>
    <x v="0"/>
    <n v="0.69929999999999992"/>
  </r>
  <r>
    <s v="GUG-45603-775"/>
    <x v="668"/>
    <x v="876"/>
    <s v="L-L-0.2"/>
    <n v="5"/>
    <x v="876"/>
    <s v="rstrathernqn@devhub.com"/>
    <x v="0"/>
    <s v="Lib"/>
    <s v="L"/>
    <x v="3"/>
    <n v="4.7549999999999999"/>
    <n v="23.774999999999999"/>
    <x v="3"/>
    <x v="1"/>
    <x v="0"/>
    <n v="3.0907499999999999"/>
  </r>
  <r>
    <s v="KJB-98240-098"/>
    <x v="422"/>
    <x v="877"/>
    <s v="L-L-1"/>
    <n v="5"/>
    <x v="877"/>
    <s v="cmiguelqo@exblog.jp"/>
    <x v="0"/>
    <s v="Lib"/>
    <s v="L"/>
    <x v="0"/>
    <n v="15.85"/>
    <n v="79.25"/>
    <x v="3"/>
    <x v="1"/>
    <x v="0"/>
    <n v="10.302500000000002"/>
  </r>
  <r>
    <s v="JMS-48374-462"/>
    <x v="669"/>
    <x v="878"/>
    <s v="A-D-2.5"/>
    <n v="2"/>
    <x v="878"/>
    <s v=""/>
    <x v="0"/>
    <s v="Ara"/>
    <s v="D"/>
    <x v="2"/>
    <n v="22.884999999999998"/>
    <n v="45.769999999999996"/>
    <x v="2"/>
    <x v="2"/>
    <x v="0"/>
    <n v="4.1192999999999991"/>
  </r>
  <r>
    <s v="YIT-15877-117"/>
    <x v="670"/>
    <x v="879"/>
    <s v="R-D-1"/>
    <n v="1"/>
    <x v="879"/>
    <s v="mrocksqq@exblog.jp"/>
    <x v="1"/>
    <s v="Rob"/>
    <s v="D"/>
    <x v="0"/>
    <n v="8.9499999999999993"/>
    <n v="8.9499999999999993"/>
    <x v="0"/>
    <x v="2"/>
    <x v="0"/>
    <n v="0.53699999999999992"/>
  </r>
  <r>
    <s v="YVK-82679-655"/>
    <x v="341"/>
    <x v="880"/>
    <s v="R-M-0.5"/>
    <n v="4"/>
    <x v="880"/>
    <s v="yburrellsqr@vinaora.com"/>
    <x v="0"/>
    <s v="Rob"/>
    <s v="M"/>
    <x v="1"/>
    <n v="5.97"/>
    <n v="23.88"/>
    <x v="0"/>
    <x v="0"/>
    <x v="0"/>
    <n v="1.4327999999999999"/>
  </r>
  <r>
    <s v="TYH-81940-054"/>
    <x v="671"/>
    <x v="881"/>
    <s v="E-L-0.2"/>
    <n v="5"/>
    <x v="881"/>
    <s v="cgoodrumqs@goodreads.com"/>
    <x v="0"/>
    <s v="Exc"/>
    <s v="L"/>
    <x v="3"/>
    <n v="4.4550000000000001"/>
    <n v="22.274999999999999"/>
    <x v="1"/>
    <x v="1"/>
    <x v="1"/>
    <n v="2.45025"/>
  </r>
  <r>
    <s v="HTY-30660-254"/>
    <x v="672"/>
    <x v="882"/>
    <s v="R-M-1"/>
    <n v="3"/>
    <x v="882"/>
    <s v="jjefferysqt@blog.com"/>
    <x v="0"/>
    <s v="Rob"/>
    <s v="M"/>
    <x v="0"/>
    <n v="9.9499999999999993"/>
    <n v="29.849999999999998"/>
    <x v="0"/>
    <x v="0"/>
    <x v="0"/>
    <n v="1.7909999999999999"/>
  </r>
  <r>
    <s v="GPW-43956-761"/>
    <x v="673"/>
    <x v="883"/>
    <s v="E-L-0.5"/>
    <n v="6"/>
    <x v="883"/>
    <s v="bwardellqu@adobe.com"/>
    <x v="0"/>
    <s v="Exc"/>
    <s v="L"/>
    <x v="1"/>
    <n v="8.91"/>
    <n v="53.46"/>
    <x v="1"/>
    <x v="1"/>
    <x v="0"/>
    <n v="5.8805999999999994"/>
  </r>
  <r>
    <s v="DWY-56352-412"/>
    <x v="674"/>
    <x v="884"/>
    <s v="R-D-0.2"/>
    <n v="1"/>
    <x v="884"/>
    <s v="zwalisiakqv@ucsd.edu"/>
    <x v="1"/>
    <s v="Rob"/>
    <s v="D"/>
    <x v="3"/>
    <n v="2.6849999999999996"/>
    <n v="2.6849999999999996"/>
    <x v="0"/>
    <x v="2"/>
    <x v="0"/>
    <n v="0.16109999999999997"/>
  </r>
  <r>
    <s v="PUH-55647-976"/>
    <x v="675"/>
    <x v="885"/>
    <s v="R-M-0.2"/>
    <n v="2"/>
    <x v="885"/>
    <s v="wleopoldqw@blogspot.com"/>
    <x v="0"/>
    <s v="Rob"/>
    <s v="M"/>
    <x v="3"/>
    <n v="2.9849999999999999"/>
    <n v="5.97"/>
    <x v="0"/>
    <x v="0"/>
    <x v="1"/>
    <n v="0.35819999999999996"/>
  </r>
  <r>
    <s v="DTB-71371-705"/>
    <x v="539"/>
    <x v="886"/>
    <s v="L-D-1"/>
    <n v="1"/>
    <x v="886"/>
    <s v="cshaldersqx@cisco.com"/>
    <x v="0"/>
    <s v="Lib"/>
    <s v="D"/>
    <x v="0"/>
    <n v="12.95"/>
    <n v="12.95"/>
    <x v="3"/>
    <x v="2"/>
    <x v="0"/>
    <n v="1.6835"/>
  </r>
  <r>
    <s v="ZDC-64769-740"/>
    <x v="676"/>
    <x v="887"/>
    <s v="E-M-0.5"/>
    <n v="1"/>
    <x v="887"/>
    <s v=""/>
    <x v="0"/>
    <s v="Exc"/>
    <s v="M"/>
    <x v="1"/>
    <n v="8.25"/>
    <n v="8.25"/>
    <x v="1"/>
    <x v="0"/>
    <x v="1"/>
    <n v="0.90749999999999997"/>
  </r>
  <r>
    <s v="TED-81959-419"/>
    <x v="677"/>
    <x v="888"/>
    <s v="A-L-2.5"/>
    <n v="5"/>
    <x v="888"/>
    <s v="nfurberqz@jugem.jp"/>
    <x v="0"/>
    <s v="Ara"/>
    <s v="L"/>
    <x v="2"/>
    <n v="29.784999999999997"/>
    <n v="148.92499999999998"/>
    <x v="2"/>
    <x v="1"/>
    <x v="1"/>
    <n v="13.403249999999998"/>
  </r>
  <r>
    <s v="FDO-25756-141"/>
    <x v="629"/>
    <x v="889"/>
    <s v="A-L-2.5"/>
    <n v="3"/>
    <x v="889"/>
    <s v=""/>
    <x v="1"/>
    <s v="Ara"/>
    <s v="L"/>
    <x v="2"/>
    <n v="29.784999999999997"/>
    <n v="89.35499999999999"/>
    <x v="2"/>
    <x v="1"/>
    <x v="0"/>
    <n v="8.0419499999999982"/>
  </r>
  <r>
    <s v="HKN-31467-517"/>
    <x v="662"/>
    <x v="890"/>
    <s v="L-M-1"/>
    <n v="6"/>
    <x v="890"/>
    <s v="ckeaver1@ucoz.com"/>
    <x v="0"/>
    <s v="Lib"/>
    <s v="M"/>
    <x v="0"/>
    <n v="14.55"/>
    <n v="87.300000000000011"/>
    <x v="3"/>
    <x v="0"/>
    <x v="1"/>
    <n v="11.349"/>
  </r>
  <r>
    <s v="POF-29666-012"/>
    <x v="102"/>
    <x v="891"/>
    <s v="R-D-0.5"/>
    <n v="1"/>
    <x v="891"/>
    <s v="sroseboroughr2@virginia.edu"/>
    <x v="0"/>
    <s v="Rob"/>
    <s v="D"/>
    <x v="1"/>
    <n v="5.3699999999999992"/>
    <n v="5.3699999999999992"/>
    <x v="0"/>
    <x v="2"/>
    <x v="0"/>
    <n v="0.32219999999999993"/>
  </r>
  <r>
    <s v="IRX-59256-644"/>
    <x v="678"/>
    <x v="892"/>
    <s v="A-D-0.2"/>
    <n v="3"/>
    <x v="892"/>
    <s v="ckingwellr3@squarespace.com"/>
    <x v="1"/>
    <s v="Ara"/>
    <s v="D"/>
    <x v="3"/>
    <n v="2.9849999999999999"/>
    <n v="8.9550000000000001"/>
    <x v="2"/>
    <x v="2"/>
    <x v="0"/>
    <n v="0.80594999999999994"/>
  </r>
  <r>
    <s v="LTN-89139-350"/>
    <x v="679"/>
    <x v="893"/>
    <s v="R-L-2.5"/>
    <n v="5"/>
    <x v="893"/>
    <s v="kcantor4@gmpg.org"/>
    <x v="0"/>
    <s v="Rob"/>
    <s v="L"/>
    <x v="2"/>
    <n v="27.484999999999996"/>
    <n v="137.42499999999998"/>
    <x v="0"/>
    <x v="1"/>
    <x v="0"/>
    <n v="8.2454999999999998"/>
  </r>
  <r>
    <s v="TXF-79780-017"/>
    <x v="112"/>
    <x v="894"/>
    <s v="R-L-1"/>
    <n v="5"/>
    <x v="894"/>
    <s v="mblakemorer5@nsw.gov.au"/>
    <x v="0"/>
    <s v="Rob"/>
    <s v="L"/>
    <x v="0"/>
    <n v="11.95"/>
    <n v="59.75"/>
    <x v="0"/>
    <x v="1"/>
    <x v="1"/>
    <n v="3.585"/>
  </r>
  <r>
    <s v="ALM-80762-974"/>
    <x v="55"/>
    <x v="890"/>
    <s v="A-L-0.5"/>
    <n v="3"/>
    <x v="890"/>
    <s v="ckeaver1@ucoz.com"/>
    <x v="0"/>
    <s v="Ara"/>
    <s v="L"/>
    <x v="1"/>
    <n v="7.77"/>
    <n v="23.31"/>
    <x v="2"/>
    <x v="1"/>
    <x v="1"/>
    <n v="2.0978999999999997"/>
  </r>
  <r>
    <s v="NXF-15738-707"/>
    <x v="680"/>
    <x v="895"/>
    <s v="R-D-0.5"/>
    <n v="2"/>
    <x v="895"/>
    <s v=""/>
    <x v="0"/>
    <s v="Rob"/>
    <s v="D"/>
    <x v="1"/>
    <n v="5.3699999999999992"/>
    <n v="10.739999999999998"/>
    <x v="0"/>
    <x v="2"/>
    <x v="1"/>
    <n v="0.64439999999999986"/>
  </r>
  <r>
    <s v="MVV-19034-198"/>
    <x v="94"/>
    <x v="896"/>
    <s v="E-D-2.5"/>
    <n v="6"/>
    <x v="896"/>
    <s v=""/>
    <x v="0"/>
    <s v="Exc"/>
    <s v="D"/>
    <x v="2"/>
    <n v="27.945"/>
    <n v="167.67000000000002"/>
    <x v="1"/>
    <x v="2"/>
    <x v="0"/>
    <n v="18.4437"/>
  </r>
  <r>
    <s v="KUX-19632-830"/>
    <x v="160"/>
    <x v="897"/>
    <s v="E-D-0.2"/>
    <n v="6"/>
    <x v="897"/>
    <s v="cbernardotr9@wix.com"/>
    <x v="0"/>
    <s v="Exc"/>
    <s v="D"/>
    <x v="3"/>
    <n v="3.645"/>
    <n v="21.87"/>
    <x v="1"/>
    <x v="2"/>
    <x v="0"/>
    <n v="2.4057000000000004"/>
  </r>
  <r>
    <s v="SNZ-44595-152"/>
    <x v="681"/>
    <x v="898"/>
    <s v="R-L-1"/>
    <n v="2"/>
    <x v="898"/>
    <s v="kkemeryra@t.co"/>
    <x v="0"/>
    <s v="Rob"/>
    <s v="L"/>
    <x v="0"/>
    <n v="11.95"/>
    <n v="23.9"/>
    <x v="0"/>
    <x v="1"/>
    <x v="0"/>
    <n v="1.4339999999999999"/>
  </r>
  <r>
    <s v="GQA-37241-629"/>
    <x v="502"/>
    <x v="899"/>
    <s v="A-M-0.2"/>
    <n v="2"/>
    <x v="899"/>
    <s v="fparlotrb@forbes.com"/>
    <x v="0"/>
    <s v="Ara"/>
    <s v="M"/>
    <x v="3"/>
    <n v="3.375"/>
    <n v="6.75"/>
    <x v="2"/>
    <x v="0"/>
    <x v="0"/>
    <n v="0.60749999999999993"/>
  </r>
  <r>
    <s v="WVV-79948-067"/>
    <x v="682"/>
    <x v="900"/>
    <s v="E-M-2.5"/>
    <n v="1"/>
    <x v="900"/>
    <s v="rcheakrc@tripadvisor.com"/>
    <x v="1"/>
    <s v="Exc"/>
    <s v="M"/>
    <x v="2"/>
    <n v="31.624999999999996"/>
    <n v="31.624999999999996"/>
    <x v="1"/>
    <x v="0"/>
    <x v="0"/>
    <n v="3.4787499999999998"/>
  </r>
  <r>
    <s v="LHX-81117-166"/>
    <x v="683"/>
    <x v="901"/>
    <s v="R-L-1"/>
    <n v="4"/>
    <x v="901"/>
    <s v="kogeneayrd@utexas.edu"/>
    <x v="0"/>
    <s v="Rob"/>
    <s v="L"/>
    <x v="0"/>
    <n v="11.95"/>
    <n v="47.8"/>
    <x v="0"/>
    <x v="1"/>
    <x v="1"/>
    <n v="2.8679999999999999"/>
  </r>
  <r>
    <s v="GCD-75444-320"/>
    <x v="594"/>
    <x v="902"/>
    <s v="L-M-2.5"/>
    <n v="1"/>
    <x v="902"/>
    <s v="cayrere@symantec.com"/>
    <x v="0"/>
    <s v="Lib"/>
    <s v="M"/>
    <x v="2"/>
    <n v="33.464999999999996"/>
    <n v="33.464999999999996"/>
    <x v="3"/>
    <x v="0"/>
    <x v="1"/>
    <n v="4.3504499999999995"/>
  </r>
  <r>
    <s v="SGA-30059-217"/>
    <x v="389"/>
    <x v="903"/>
    <s v="A-D-0.5"/>
    <n v="5"/>
    <x v="903"/>
    <s v="lkynetonrf@macromedia.com"/>
    <x v="2"/>
    <s v="Ara"/>
    <s v="D"/>
    <x v="1"/>
    <n v="5.97"/>
    <n v="29.849999999999998"/>
    <x v="2"/>
    <x v="2"/>
    <x v="0"/>
    <n v="2.6865000000000001"/>
  </r>
  <r>
    <s v="GNL-98714-885"/>
    <x v="583"/>
    <x v="904"/>
    <s v="R-M-1"/>
    <n v="3"/>
    <x v="904"/>
    <s v=""/>
    <x v="2"/>
    <s v="Rob"/>
    <s v="M"/>
    <x v="0"/>
    <n v="9.9499999999999993"/>
    <n v="29.849999999999998"/>
    <x v="0"/>
    <x v="0"/>
    <x v="0"/>
    <n v="1.7909999999999999"/>
  </r>
  <r>
    <s v="OQA-93249-841"/>
    <x v="647"/>
    <x v="905"/>
    <s v="A-M-2.5"/>
    <n v="6"/>
    <x v="905"/>
    <s v=""/>
    <x v="0"/>
    <s v="Ara"/>
    <s v="M"/>
    <x v="2"/>
    <n v="25.874999999999996"/>
    <n v="155.24999999999997"/>
    <x v="2"/>
    <x v="0"/>
    <x v="0"/>
    <n v="13.972499999999997"/>
  </r>
  <r>
    <s v="DUV-12075-132"/>
    <x v="366"/>
    <x v="906"/>
    <s v="E-D-0.2"/>
    <n v="5"/>
    <x v="906"/>
    <s v=""/>
    <x v="0"/>
    <s v="Exc"/>
    <s v="D"/>
    <x v="3"/>
    <n v="3.645"/>
    <n v="18.225000000000001"/>
    <x v="1"/>
    <x v="2"/>
    <x v="1"/>
    <n v="2.00475"/>
  </r>
  <r>
    <s v="DUV-12075-132"/>
    <x v="366"/>
    <x v="906"/>
    <s v="L-D-0.5"/>
    <n v="2"/>
    <x v="906"/>
    <s v=""/>
    <x v="0"/>
    <s v="Lib"/>
    <s v="D"/>
    <x v="1"/>
    <n v="7.77"/>
    <n v="15.54"/>
    <x v="3"/>
    <x v="2"/>
    <x v="1"/>
    <n v="2.0202"/>
  </r>
  <r>
    <s v="KPO-24942-184"/>
    <x v="684"/>
    <x v="907"/>
    <s v="L-L-2.5"/>
    <n v="3"/>
    <x v="907"/>
    <s v=""/>
    <x v="1"/>
    <s v="Lib"/>
    <s v="L"/>
    <x v="2"/>
    <n v="36.454999999999998"/>
    <n v="109.36499999999999"/>
    <x v="3"/>
    <x v="1"/>
    <x v="1"/>
    <n v="14.217449999999999"/>
  </r>
  <r>
    <s v="SRJ-79353-838"/>
    <x v="506"/>
    <x v="908"/>
    <s v="A-L-1"/>
    <n v="6"/>
    <x v="908"/>
    <s v=""/>
    <x v="0"/>
    <s v="Ara"/>
    <s v="L"/>
    <x v="0"/>
    <n v="12.95"/>
    <n v="77.699999999999989"/>
    <x v="2"/>
    <x v="1"/>
    <x v="1"/>
    <n v="6.9930000000000003"/>
  </r>
  <r>
    <s v="XBV-40336-071"/>
    <x v="685"/>
    <x v="909"/>
    <s v="A-D-0.2"/>
    <n v="3"/>
    <x v="909"/>
    <s v=""/>
    <x v="1"/>
    <s v="Ara"/>
    <s v="D"/>
    <x v="3"/>
    <n v="2.9849999999999999"/>
    <n v="8.9550000000000001"/>
    <x v="2"/>
    <x v="2"/>
    <x v="1"/>
    <n v="0.80594999999999994"/>
  </r>
  <r>
    <s v="RLM-96511-467"/>
    <x v="191"/>
    <x v="910"/>
    <s v="R-L-2.5"/>
    <n v="1"/>
    <x v="910"/>
    <s v="jtewelsonrn@samsung.com"/>
    <x v="0"/>
    <s v="Rob"/>
    <s v="L"/>
    <x v="2"/>
    <n v="27.484999999999996"/>
    <n v="27.484999999999996"/>
    <x v="0"/>
    <x v="1"/>
    <x v="1"/>
    <n v="1.6490999999999998"/>
  </r>
  <r>
    <s v="AEZ-13242-456"/>
    <x v="686"/>
    <x v="906"/>
    <s v="R-M-0.5"/>
    <n v="5"/>
    <x v="906"/>
    <s v=""/>
    <x v="0"/>
    <s v="Rob"/>
    <s v="M"/>
    <x v="1"/>
    <n v="5.97"/>
    <n v="29.849999999999998"/>
    <x v="0"/>
    <x v="0"/>
    <x v="1"/>
    <n v="1.7909999999999999"/>
  </r>
  <r>
    <s v="UME-75640-698"/>
    <x v="687"/>
    <x v="906"/>
    <s v="A-M-0.5"/>
    <n v="4"/>
    <x v="906"/>
    <s v=""/>
    <x v="0"/>
    <s v="Ara"/>
    <s v="M"/>
    <x v="1"/>
    <n v="6.75"/>
    <n v="27"/>
    <x v="2"/>
    <x v="0"/>
    <x v="1"/>
    <n v="2.4299999999999997"/>
  </r>
  <r>
    <s v="GJC-66474-557"/>
    <x v="629"/>
    <x v="911"/>
    <s v="A-D-1"/>
    <n v="1"/>
    <x v="911"/>
    <s v="njennyrq@bigcartel.com"/>
    <x v="0"/>
    <s v="Ara"/>
    <s v="D"/>
    <x v="0"/>
    <n v="9.9499999999999993"/>
    <n v="9.9499999999999993"/>
    <x v="2"/>
    <x v="2"/>
    <x v="1"/>
    <n v="0.89549999999999985"/>
  </r>
  <r>
    <s v="IRV-20769-219"/>
    <x v="688"/>
    <x v="912"/>
    <s v="E-M-0.2"/>
    <n v="3"/>
    <x v="912"/>
    <s v=""/>
    <x v="2"/>
    <s v="Exc"/>
    <s v="M"/>
    <x v="3"/>
    <n v="4.125"/>
    <n v="12.375"/>
    <x v="1"/>
    <x v="0"/>
    <x v="0"/>
    <n v="1.36125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D29F7A-F00F-4661-900A-E673AED3178D}" name="Total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A58" firstHeaderRow="1" firstDataRow="1" firstDataCol="0"/>
  <pivotFields count="19">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pivotField numFmtId="167" showAll="0"/>
    <pivotField dataField="1" numFmtId="167" showAll="0"/>
    <pivotField showAll="0"/>
    <pivotField showAll="0"/>
    <pivotField showAll="0"/>
    <pivotField numFmtId="167" showAll="0"/>
    <pivotField showAll="0" defaultSubtotal="0"/>
    <pivotField showAll="0" defaultSubtotal="0">
      <items count="6">
        <item x="0"/>
        <item x="1"/>
        <item x="2"/>
        <item x="3"/>
        <item x="4"/>
        <item x="5"/>
      </items>
    </pivotField>
  </pivotFields>
  <rowItems count="1">
    <i/>
  </rowItems>
  <colItems count="1">
    <i/>
  </colItems>
  <dataFields count="1">
    <dataField name="Sum of Sales" fld="12" baseField="0" baseItem="0" numFmtId="168"/>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46C71E-7896-4671-9648-F8709D327E7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4:A55" firstHeaderRow="1" firstDataRow="1" firstDataCol="0"/>
  <pivotFields count="19">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items count="5">
        <item h="1" x="2"/>
        <item h="1" x="1"/>
        <item x="3"/>
        <item h="1" x="0"/>
        <item t="default"/>
      </items>
    </pivotField>
    <pivotField showAll="0">
      <items count="4">
        <item x="2"/>
        <item x="1"/>
        <item x="0"/>
        <item t="default"/>
      </items>
    </pivotField>
    <pivotField showAll="0">
      <items count="3">
        <item x="1"/>
        <item x="0"/>
        <item t="default"/>
      </items>
    </pivotField>
    <pivotField numFmtId="167" showAll="0"/>
    <pivotField showAll="0" defaultSubtotal="0"/>
    <pivotField showAll="0" defaultSubtotal="0">
      <items count="6">
        <item x="0"/>
        <item x="1"/>
        <item x="2"/>
        <item x="3"/>
        <item x="4"/>
        <item x="5"/>
      </items>
    </pivotField>
  </pivotFields>
  <rowItems count="1">
    <i/>
  </rowItems>
  <colItems count="1">
    <i/>
  </colItems>
  <dataFields count="1">
    <dataField name="Sum of Sales" fld="12" baseField="0" baseItem="0" numFmtId="168"/>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57CFD3-4316-4181-A2E3-E77AF36C5133}"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2">
  <location ref="A3:D49" firstHeaderRow="1" firstDataRow="2" firstDataCol="2"/>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h="1" x="2"/>
        <item h="1" x="1"/>
        <item x="3"/>
        <item h="1"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8"/>
    <field x="17"/>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2">
    <i>
      <x v="2"/>
    </i>
    <i t="grand">
      <x/>
    </i>
  </colItems>
  <dataFields count="1">
    <dataField name="Sum of Sales" fld="12" baseField="17" baseItem="3" numFmtId="4"/>
  </dataFields>
  <chartFormats count="9">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 chart="11"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AF0E89-39BF-4BCA-85E0-D73107072F2C}"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2">
  <location ref="A3:A4" firstHeaderRow="1" firstDataRow="1" firstDataCol="0"/>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compact="0" numFmtId="167" outline="0" showAll="0" defaultSubtotal="0"/>
    <pivotField compact="0" outline="0" showAll="0" defaultSubtotal="0">
      <items count="4">
        <item h="1" x="2"/>
        <item h="1" x="1"/>
        <item x="3"/>
        <item h="1" x="0"/>
      </items>
    </pivotField>
    <pivotField compact="0" outline="0" showAll="0" defaultSubtotal="0">
      <items count="3">
        <item x="2"/>
        <item x="1"/>
        <item x="0"/>
      </items>
    </pivotField>
    <pivotField compact="0" outline="0" subtotalTop="0" showAll="0" defaultSubtotal="0">
      <items count="2">
        <item x="1"/>
        <item x="0"/>
      </items>
    </pivotField>
    <pivotField dataField="1"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Items count="1">
    <i/>
  </rowItems>
  <colItems count="1">
    <i/>
  </colItems>
  <dataFields count="1">
    <dataField name="Sum of Profit" fld="16" baseField="17" baseItem="2" numFmtId="168"/>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FD963C-7729-4E7D-96E7-65E64F7DC2FD}" name="Total Profi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7:A8" firstHeaderRow="1" firstDataRow="1" firstDataCol="0"/>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pivotField compact="0" numFmtId="167" outline="0" showAll="0" defaultSubtotal="0"/>
    <pivotField compact="0" numFmtId="167" outline="0" showAll="0" defaultSubtotal="0"/>
    <pivotField compact="0" outline="0" showAll="0" defaultSubtotal="0"/>
    <pivotField compact="0" outline="0" showAll="0" defaultSubtotal="0"/>
    <pivotField compact="0" outline="0" subtotalTop="0" showAll="0" defaultSubtotal="0"/>
    <pivotField dataField="1"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Items count="1">
    <i/>
  </rowItems>
  <colItems count="1">
    <i/>
  </colItems>
  <dataFields count="1">
    <dataField name="Sum of Profit" fld="16" baseField="17" baseItem="2" numFmtId="168"/>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120A32-3ABE-4227-AE51-367AF76667C1}"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2">
  <location ref="A3:C6" firstHeaderRow="0" firstDataRow="1" firstDataCol="1"/>
  <pivotFields count="19">
    <pivotField dataField="1"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compact="0" numFmtId="167" outline="0" showAll="0" defaultSubtotal="0"/>
    <pivotField compact="0" outline="0" showAll="0" defaultSubtotal="0">
      <items count="4">
        <item h="1" x="2"/>
        <item h="1" x="1"/>
        <item x="3"/>
        <item h="1" x="0"/>
      </items>
    </pivotField>
    <pivotField compact="0" outline="0" showAll="0" defaultSubtotal="0">
      <items count="3">
        <item x="2"/>
        <item x="1"/>
        <item x="0"/>
      </items>
    </pivotField>
    <pivotField axis="axisRow" compact="0" outline="0" subtotalTop="0" showAll="0" defaultSubtotal="0">
      <items count="2">
        <item x="1"/>
        <item x="0"/>
      </items>
    </pivotField>
    <pivotField dataField="1"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15"/>
  </rowFields>
  <rowItems count="3">
    <i>
      <x/>
    </i>
    <i>
      <x v="1"/>
    </i>
    <i t="grand">
      <x/>
    </i>
  </rowItems>
  <colFields count="1">
    <field x="-2"/>
  </colFields>
  <colItems count="2">
    <i>
      <x/>
    </i>
    <i i="1">
      <x v="1"/>
    </i>
  </colItems>
  <dataFields count="2">
    <dataField name="Sum of Profit" fld="16" baseField="17" baseItem="2" numFmtId="168"/>
    <dataField name="Count of Order 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1730CC-B615-4F79-A7FE-3E7BFD46278A}" name="Total Order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9:A10" firstHeaderRow="1" firstDataRow="1" firstDataCol="0"/>
  <pivotFields count="19">
    <pivotField dataField="1"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countASubtotal="1">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countA"/>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Items count="1">
    <i/>
  </rowItems>
  <colItems count="1">
    <i/>
  </colItems>
  <dataFields count="1">
    <dataField name="Count of Order 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4E0CCE-958A-42D7-84AE-DCD1166232D2}"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B6"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h="1" x="2"/>
        <item h="1" x="1"/>
        <item x="3"/>
        <item h="1"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showDataAs="percentOfTotal" baseField="7" baseItem="2" numFmtId="10"/>
  </dataFields>
  <chartFormats count="3">
    <chartFormat chart="15"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61A70A-CACB-4BFF-9F51-34DA3E143A5C}"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5">
  <location ref="A3:B9"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h="1" x="2"/>
        <item h="1" x="1"/>
        <item x="3"/>
        <item h="1"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226"/>
    </i>
    <i>
      <x v="762"/>
    </i>
    <i>
      <x v="646"/>
    </i>
    <i>
      <x v="528"/>
    </i>
    <i>
      <x v="20"/>
    </i>
    <i t="grand">
      <x/>
    </i>
  </rowItems>
  <colItems count="1">
    <i/>
  </colItems>
  <dataFields count="1">
    <dataField name="Sum of Sales" fld="12" baseField="7" baseItem="0" numFmtId="168"/>
  </dataFields>
  <chartFormats count="4">
    <chartFormat chart="10" format="8"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B532F1-BE81-4B7E-8E58-30D103E19C76}" name="% of Total 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5">
  <location ref="E3:F917"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sortType="de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914">
    <i>
      <x v="28"/>
    </i>
    <i>
      <x v="125"/>
    </i>
    <i>
      <x v="831"/>
    </i>
    <i>
      <x v="646"/>
    </i>
    <i>
      <x v="255"/>
    </i>
    <i>
      <x v="237"/>
    </i>
    <i>
      <x v="126"/>
    </i>
    <i>
      <x v="20"/>
    </i>
    <i>
      <x v="17"/>
    </i>
    <i>
      <x v="785"/>
    </i>
    <i>
      <x v="639"/>
    </i>
    <i>
      <x v="826"/>
    </i>
    <i>
      <x v="518"/>
    </i>
    <i>
      <x v="289"/>
    </i>
    <i>
      <x v="218"/>
    </i>
    <i>
      <x v="528"/>
    </i>
    <i>
      <x v="181"/>
    </i>
    <i>
      <x v="390"/>
    </i>
    <i>
      <x v="190"/>
    </i>
    <i>
      <x v="762"/>
    </i>
    <i>
      <x v="226"/>
    </i>
    <i>
      <x v="820"/>
    </i>
    <i>
      <x v="696"/>
    </i>
    <i>
      <x v="610"/>
    </i>
    <i>
      <x v="724"/>
    </i>
    <i>
      <x v="329"/>
    </i>
    <i>
      <x v="401"/>
    </i>
    <i>
      <x v="117"/>
    </i>
    <i>
      <x v="272"/>
    </i>
    <i>
      <x v="631"/>
    </i>
    <i>
      <x v="417"/>
    </i>
    <i>
      <x v="233"/>
    </i>
    <i>
      <x v="288"/>
    </i>
    <i>
      <x v="312"/>
    </i>
    <i>
      <x v="439"/>
    </i>
    <i>
      <x v="327"/>
    </i>
    <i>
      <x v="583"/>
    </i>
    <i>
      <x v="381"/>
    </i>
    <i>
      <x v="669"/>
    </i>
    <i>
      <x v="608"/>
    </i>
    <i>
      <x v="372"/>
    </i>
    <i>
      <x v="402"/>
    </i>
    <i>
      <x v="465"/>
    </i>
    <i>
      <x v="189"/>
    </i>
    <i>
      <x v="297"/>
    </i>
    <i>
      <x v="852"/>
    </i>
    <i>
      <x v="788"/>
    </i>
    <i>
      <x v="655"/>
    </i>
    <i>
      <x v="879"/>
    </i>
    <i>
      <x v="679"/>
    </i>
    <i>
      <x v="668"/>
    </i>
    <i>
      <x v="371"/>
    </i>
    <i>
      <x v="107"/>
    </i>
    <i>
      <x v="265"/>
    </i>
    <i>
      <x v="128"/>
    </i>
    <i>
      <x v="517"/>
    </i>
    <i>
      <x v="486"/>
    </i>
    <i>
      <x v="250"/>
    </i>
    <i>
      <x v="112"/>
    </i>
    <i>
      <x v="238"/>
    </i>
    <i>
      <x v="328"/>
    </i>
    <i>
      <x v="814"/>
    </i>
    <i>
      <x v="484"/>
    </i>
    <i>
      <x v="188"/>
    </i>
    <i>
      <x v="463"/>
    </i>
    <i>
      <x v="477"/>
    </i>
    <i>
      <x v="690"/>
    </i>
    <i>
      <x v="10"/>
    </i>
    <i>
      <x v="216"/>
    </i>
    <i>
      <x v="775"/>
    </i>
    <i>
      <x v="475"/>
    </i>
    <i>
      <x v="559"/>
    </i>
    <i>
      <x v="504"/>
    </i>
    <i>
      <x v="577"/>
    </i>
    <i>
      <x v="519"/>
    </i>
    <i>
      <x v="279"/>
    </i>
    <i>
      <x v="98"/>
    </i>
    <i>
      <x v="40"/>
    </i>
    <i>
      <x v="883"/>
    </i>
    <i>
      <x v="543"/>
    </i>
    <i>
      <x v="222"/>
    </i>
    <i>
      <x v="767"/>
    </i>
    <i>
      <x v="397"/>
    </i>
    <i>
      <x v="379"/>
    </i>
    <i>
      <x v="462"/>
    </i>
    <i>
      <x v="832"/>
    </i>
    <i>
      <x v="654"/>
    </i>
    <i>
      <x v="496"/>
    </i>
    <i>
      <x v="470"/>
    </i>
    <i>
      <x v="435"/>
    </i>
    <i>
      <x v="262"/>
    </i>
    <i>
      <x v="86"/>
    </i>
    <i>
      <x v="51"/>
    </i>
    <i>
      <x v="241"/>
    </i>
    <i>
      <x v="721"/>
    </i>
    <i>
      <x v="745"/>
    </i>
    <i>
      <x v="546"/>
    </i>
    <i>
      <x v="581"/>
    </i>
    <i>
      <x v="464"/>
    </i>
    <i>
      <x v="204"/>
    </i>
    <i>
      <x v="267"/>
    </i>
    <i>
      <x v="152"/>
    </i>
    <i>
      <x v="406"/>
    </i>
    <i>
      <x v="223"/>
    </i>
    <i>
      <x v="252"/>
    </i>
    <i>
      <x v="163"/>
    </i>
    <i>
      <x v="12"/>
    </i>
    <i>
      <x v="715"/>
    </i>
    <i>
      <x v="378"/>
    </i>
    <i>
      <x v="73"/>
    </i>
    <i>
      <x v="263"/>
    </i>
    <i>
      <x v="293"/>
    </i>
    <i>
      <x v="786"/>
    </i>
    <i>
      <x v="239"/>
    </i>
    <i>
      <x v="909"/>
    </i>
    <i>
      <x v="333"/>
    </i>
    <i>
      <x v="8"/>
    </i>
    <i>
      <x v="29"/>
    </i>
    <i>
      <x v="176"/>
    </i>
    <i>
      <x v="387"/>
    </i>
    <i>
      <x v="208"/>
    </i>
    <i>
      <x v="285"/>
    </i>
    <i>
      <x v="450"/>
    </i>
    <i>
      <x v="357"/>
    </i>
    <i>
      <x v="130"/>
    </i>
    <i>
      <x v="769"/>
    </i>
    <i>
      <x v="164"/>
    </i>
    <i>
      <x v="144"/>
    </i>
    <i>
      <x v="636"/>
    </i>
    <i>
      <x v="307"/>
    </i>
    <i>
      <x v="356"/>
    </i>
    <i>
      <x v="55"/>
    </i>
    <i>
      <x v="893"/>
    </i>
    <i>
      <x v="673"/>
    </i>
    <i>
      <x v="719"/>
    </i>
    <i>
      <x v="458"/>
    </i>
    <i>
      <x v="48"/>
    </i>
    <i>
      <x v="580"/>
    </i>
    <i>
      <x v="674"/>
    </i>
    <i>
      <x v="887"/>
    </i>
    <i>
      <x v="695"/>
    </i>
    <i>
      <x v="240"/>
    </i>
    <i>
      <x v="138"/>
    </i>
    <i>
      <x v="248"/>
    </i>
    <i>
      <x v="154"/>
    </i>
    <i>
      <x v="354"/>
    </i>
    <i>
      <x v="375"/>
    </i>
    <i>
      <x v="175"/>
    </i>
    <i>
      <x v="388"/>
    </i>
    <i>
      <x v="479"/>
    </i>
    <i>
      <x v="292"/>
    </i>
    <i>
      <x v="896"/>
    </i>
    <i>
      <x v="428"/>
    </i>
    <i>
      <x v="358"/>
    </i>
    <i>
      <x v="253"/>
    </i>
    <i>
      <x v="793"/>
    </i>
    <i>
      <x v="766"/>
    </i>
    <i>
      <x v="393"/>
    </i>
    <i>
      <x v="600"/>
    </i>
    <i>
      <x v="100"/>
    </i>
    <i>
      <x v="172"/>
    </i>
    <i>
      <x v="911"/>
    </i>
    <i>
      <x v="730"/>
    </i>
    <i>
      <x v="682"/>
    </i>
    <i>
      <x v="776"/>
    </i>
    <i>
      <x v="433"/>
    </i>
    <i>
      <x v="382"/>
    </i>
    <i>
      <x v="530"/>
    </i>
    <i>
      <x v="45"/>
    </i>
    <i>
      <x v="421"/>
    </i>
    <i>
      <x v="642"/>
    </i>
    <i>
      <x v="365"/>
    </i>
    <i>
      <x v="155"/>
    </i>
    <i>
      <x v="212"/>
    </i>
    <i>
      <x v="666"/>
    </i>
    <i>
      <x v="847"/>
    </i>
    <i>
      <x v="712"/>
    </i>
    <i>
      <x v="665"/>
    </i>
    <i>
      <x v="854"/>
    </i>
    <i>
      <x v="734"/>
    </i>
    <i>
      <x v="740"/>
    </i>
    <i>
      <x v="578"/>
    </i>
    <i>
      <x v="531"/>
    </i>
    <i>
      <x v="198"/>
    </i>
    <i>
      <x v="877"/>
    </i>
    <i>
      <x v="650"/>
    </i>
    <i>
      <x v="322"/>
    </i>
    <i>
      <x v="540"/>
    </i>
    <i>
      <x v="516"/>
    </i>
    <i>
      <x v="74"/>
    </i>
    <i>
      <x v="197"/>
    </i>
    <i>
      <x v="711"/>
    </i>
    <i>
      <x v="789"/>
    </i>
    <i>
      <x v="316"/>
    </i>
    <i>
      <x v="231"/>
    </i>
    <i>
      <x v="780"/>
    </i>
    <i>
      <x v="595"/>
    </i>
    <i>
      <x v="456"/>
    </i>
    <i>
      <x v="300"/>
    </i>
    <i>
      <x v="699"/>
    </i>
    <i>
      <x v="685"/>
    </i>
    <i>
      <x v="507"/>
    </i>
    <i>
      <x v="419"/>
    </i>
    <i>
      <x v="60"/>
    </i>
    <i>
      <x v="906"/>
    </i>
    <i>
      <x v="88"/>
    </i>
    <i>
      <x v="54"/>
    </i>
    <i>
      <x v="534"/>
    </i>
    <i>
      <x v="863"/>
    </i>
    <i>
      <x v="70"/>
    </i>
    <i>
      <x v="193"/>
    </i>
    <i>
      <x v="889"/>
    </i>
    <i>
      <x v="623"/>
    </i>
    <i>
      <x v="592"/>
    </i>
    <i>
      <x v="105"/>
    </i>
    <i>
      <x v="234"/>
    </i>
    <i>
      <x v="894"/>
    </i>
    <i>
      <x v="774"/>
    </i>
    <i>
      <x v="828"/>
    </i>
    <i>
      <x v="652"/>
    </i>
    <i>
      <x v="160"/>
    </i>
    <i>
      <x v="202"/>
    </i>
    <i>
      <x v="205"/>
    </i>
    <i>
      <x v="726"/>
    </i>
    <i>
      <x v="319"/>
    </i>
    <i>
      <x v="506"/>
    </i>
    <i>
      <x v="497"/>
    </i>
    <i>
      <x v="647"/>
    </i>
    <i>
      <x v="733"/>
    </i>
    <i>
      <x v="500"/>
    </i>
    <i>
      <x v="616"/>
    </i>
    <i>
      <x v="525"/>
    </i>
    <i>
      <x v="594"/>
    </i>
    <i>
      <x v="460"/>
    </i>
    <i>
      <x v="345"/>
    </i>
    <i>
      <x v="259"/>
    </i>
    <i>
      <x v="302"/>
    </i>
    <i>
      <x v="133"/>
    </i>
    <i>
      <x v="245"/>
    </i>
    <i>
      <x v="691"/>
    </i>
    <i>
      <x v="30"/>
    </i>
    <i>
      <x v="755"/>
    </i>
    <i>
      <x v="613"/>
    </i>
    <i>
      <x v="622"/>
    </i>
    <i>
      <x v="563"/>
    </i>
    <i>
      <x v="341"/>
    </i>
    <i>
      <x v="376"/>
    </i>
    <i>
      <x v="36"/>
    </i>
    <i>
      <x v="58"/>
    </i>
    <i>
      <x v="284"/>
    </i>
    <i>
      <x v="662"/>
    </i>
    <i>
      <x v="815"/>
    </i>
    <i>
      <x v="346"/>
    </i>
    <i>
      <x v="425"/>
    </i>
    <i>
      <x v="410"/>
    </i>
    <i>
      <x v="261"/>
    </i>
    <i>
      <x v="676"/>
    </i>
    <i>
      <x v="338"/>
    </i>
    <i>
      <x v="438"/>
    </i>
    <i>
      <x v="899"/>
    </i>
    <i>
      <x v="751"/>
    </i>
    <i>
      <x v="485"/>
    </i>
    <i>
      <x v="115"/>
    </i>
    <i>
      <x v="242"/>
    </i>
    <i>
      <x v="725"/>
    </i>
    <i>
      <x v="526"/>
    </i>
    <i>
      <x v="23"/>
    </i>
    <i>
      <x v="717"/>
    </i>
    <i>
      <x v="855"/>
    </i>
    <i>
      <x v="490"/>
    </i>
    <i>
      <x v="13"/>
    </i>
    <i>
      <x v="555"/>
    </i>
    <i>
      <x v="729"/>
    </i>
    <i>
      <x v="334"/>
    </i>
    <i>
      <x v="47"/>
    </i>
    <i>
      <x v="139"/>
    </i>
    <i>
      <x v="108"/>
    </i>
    <i>
      <x v="78"/>
    </i>
    <i>
      <x v="303"/>
    </i>
    <i>
      <x v="412"/>
    </i>
    <i>
      <x v="564"/>
    </i>
    <i>
      <x v="611"/>
    </i>
    <i>
      <x v="503"/>
    </i>
    <i>
      <x v="614"/>
    </i>
    <i>
      <x v="808"/>
    </i>
    <i>
      <x v="857"/>
    </i>
    <i>
      <x v="527"/>
    </i>
    <i>
      <x v="589"/>
    </i>
    <i>
      <x v="87"/>
    </i>
    <i>
      <x v="330"/>
    </i>
    <i>
      <x v="457"/>
    </i>
    <i>
      <x v="4"/>
    </i>
    <i>
      <x v="890"/>
    </i>
    <i>
      <x v="819"/>
    </i>
    <i>
      <x v="554"/>
    </i>
    <i>
      <x v="836"/>
    </i>
    <i>
      <x v="702"/>
    </i>
    <i>
      <x v="314"/>
    </i>
    <i>
      <x v="350"/>
    </i>
    <i>
      <x v="515"/>
    </i>
    <i>
      <x v="277"/>
    </i>
    <i>
      <x v="280"/>
    </i>
    <i>
      <x v="747"/>
    </i>
    <i>
      <x v="254"/>
    </i>
    <i>
      <x v="119"/>
    </i>
    <i>
      <x v="551"/>
    </i>
    <i>
      <x v="3"/>
    </i>
    <i>
      <x v="344"/>
    </i>
    <i>
      <x v="353"/>
    </i>
    <i>
      <x v="511"/>
    </i>
    <i>
      <x v="186"/>
    </i>
    <i>
      <x v="22"/>
    </i>
    <i>
      <x v="803"/>
    </i>
    <i>
      <x v="835"/>
    </i>
    <i>
      <x v="761"/>
    </i>
    <i>
      <x v="384"/>
    </i>
    <i>
      <x v="336"/>
    </i>
    <i>
      <x v="153"/>
    </i>
    <i>
      <x v="140"/>
    </i>
    <i>
      <x v="656"/>
    </i>
    <i>
      <x v="853"/>
    </i>
    <i>
      <x v="136"/>
    </i>
    <i>
      <x v="670"/>
    </i>
    <i>
      <x v="839"/>
    </i>
    <i>
      <x v="394"/>
    </i>
    <i>
      <x v="370"/>
    </i>
    <i>
      <x v="71"/>
    </i>
    <i>
      <x v="206"/>
    </i>
    <i>
      <x v="325"/>
    </i>
    <i>
      <x v="478"/>
    </i>
    <i>
      <x v="335"/>
    </i>
    <i>
      <x v="596"/>
    </i>
    <i>
      <x v="512"/>
    </i>
    <i>
      <x v="251"/>
    </i>
    <i>
      <x v="171"/>
    </i>
    <i>
      <x v="830"/>
    </i>
    <i>
      <x v="612"/>
    </i>
    <i>
      <x v="744"/>
    </i>
    <i>
      <x v="57"/>
    </i>
    <i>
      <x v="714"/>
    </i>
    <i>
      <x v="809"/>
    </i>
    <i>
      <x v="83"/>
    </i>
    <i>
      <x v="728"/>
    </i>
    <i>
      <x v="502"/>
    </i>
    <i>
      <x v="383"/>
    </i>
    <i>
      <x v="609"/>
    </i>
    <i>
      <x v="64"/>
    </i>
    <i>
      <x v="142"/>
    </i>
    <i>
      <x v="765"/>
    </i>
    <i>
      <x v="566"/>
    </i>
    <i>
      <x v="778"/>
    </i>
    <i>
      <x v="871"/>
    </i>
    <i>
      <x v="524"/>
    </i>
    <i>
      <x v="537"/>
    </i>
    <i>
      <x v="459"/>
    </i>
    <i>
      <x v="523"/>
    </i>
    <i>
      <x v="541"/>
    </i>
    <i>
      <x v="170"/>
    </i>
    <i>
      <x v="131"/>
    </i>
    <i>
      <x v="161"/>
    </i>
    <i>
      <x v="66"/>
    </i>
    <i>
      <x v="864"/>
    </i>
    <i>
      <x v="617"/>
    </i>
    <i>
      <x v="821"/>
    </i>
    <i>
      <x v="476"/>
    </i>
    <i>
      <x v="423"/>
    </i>
    <i>
      <x v="482"/>
    </i>
    <i>
      <x v="448"/>
    </i>
    <i>
      <x v="579"/>
    </i>
    <i>
      <x v="173"/>
    </i>
    <i>
      <x v="829"/>
    </i>
    <i>
      <x v="620"/>
    </i>
    <i>
      <x v="586"/>
    </i>
    <i>
      <x v="15"/>
    </i>
    <i>
      <x v="120"/>
    </i>
    <i>
      <x v="813"/>
    </i>
    <i>
      <x v="705"/>
    </i>
    <i>
      <x v="675"/>
    </i>
    <i>
      <x v="552"/>
    </i>
    <i>
      <x v="220"/>
    </i>
    <i>
      <x v="628"/>
    </i>
    <i>
      <x v="824"/>
    </i>
    <i>
      <x v="321"/>
    </i>
    <i>
      <x v="159"/>
    </i>
    <i>
      <x v="44"/>
    </i>
    <i>
      <x v="825"/>
    </i>
    <i>
      <x v="900"/>
    </i>
    <i>
      <x v="722"/>
    </i>
    <i>
      <x v="349"/>
    </i>
    <i>
      <x v="585"/>
    </i>
    <i>
      <x v="429"/>
    </i>
    <i>
      <x v="101"/>
    </i>
    <i>
      <x v="111"/>
    </i>
    <i>
      <x v="273"/>
    </i>
    <i>
      <x v="37"/>
    </i>
    <i>
      <x v="221"/>
    </i>
    <i>
      <x v="63"/>
    </i>
    <i>
      <x v="635"/>
    </i>
    <i>
      <x v="362"/>
    </i>
    <i>
      <x v="591"/>
    </i>
    <i>
      <x v="408"/>
    </i>
    <i>
      <x v="129"/>
    </i>
    <i>
      <x v="773"/>
    </i>
    <i>
      <x v="845"/>
    </i>
    <i>
      <x v="881"/>
    </i>
    <i>
      <x v="560"/>
    </i>
    <i>
      <x v="42"/>
    </i>
    <i>
      <x v="731"/>
    </i>
    <i>
      <x v="791"/>
    </i>
    <i>
      <x v="749"/>
    </i>
    <i>
      <x v="361"/>
    </i>
    <i>
      <x v="545"/>
    </i>
    <i>
      <x v="46"/>
    </i>
    <i>
      <x v="294"/>
    </i>
    <i>
      <x v="804"/>
    </i>
    <i>
      <x v="865"/>
    </i>
    <i>
      <x v="901"/>
    </i>
    <i>
      <x v="380"/>
    </i>
    <i>
      <x v="509"/>
    </i>
    <i>
      <x v="310"/>
    </i>
    <i>
      <x v="283"/>
    </i>
    <i>
      <x v="224"/>
    </i>
    <i>
      <x v="805"/>
    </i>
    <i>
      <x v="529"/>
    </i>
    <i>
      <x v="308"/>
    </i>
    <i>
      <x v="313"/>
    </i>
    <i>
      <x v="6"/>
    </i>
    <i>
      <x v="266"/>
    </i>
    <i>
      <x v="320"/>
    </i>
    <i>
      <x v="359"/>
    </i>
    <i>
      <x v="584"/>
    </i>
    <i>
      <x v="287"/>
    </i>
    <i>
      <x v="274"/>
    </i>
    <i>
      <x v="167"/>
    </i>
    <i>
      <x v="281"/>
    </i>
    <i>
      <x v="783"/>
    </i>
    <i>
      <x v="827"/>
    </i>
    <i>
      <x v="671"/>
    </i>
    <i>
      <x v="599"/>
    </i>
    <i>
      <x v="708"/>
    </i>
    <i>
      <x v="499"/>
    </i>
    <i>
      <x v="409"/>
    </i>
    <i>
      <x v="306"/>
    </i>
    <i>
      <x v="91"/>
    </i>
    <i>
      <x v="249"/>
    </i>
    <i>
      <x v="299"/>
    </i>
    <i>
      <x v="207"/>
    </i>
    <i>
      <x v="396"/>
    </i>
    <i>
      <x v="686"/>
    </i>
    <i>
      <x v="709"/>
    </i>
    <i>
      <x v="565"/>
    </i>
    <i>
      <x v="180"/>
    </i>
    <i>
      <x v="907"/>
    </i>
    <i>
      <x v="483"/>
    </i>
    <i>
      <x v="664"/>
    </i>
    <i>
      <x v="53"/>
    </i>
    <i>
      <x v="84"/>
    </i>
    <i>
      <x v="630"/>
    </i>
    <i>
      <x v="363"/>
    </i>
    <i>
      <x v="315"/>
    </i>
    <i>
      <x v="713"/>
    </i>
    <i>
      <x v="366"/>
    </i>
    <i>
      <x v="192"/>
    </i>
    <i>
      <x v="95"/>
    </i>
    <i>
      <x v="72"/>
    </i>
    <i>
      <x v="449"/>
    </i>
    <i>
      <x v="324"/>
    </i>
    <i>
      <x v="467"/>
    </i>
    <i>
      <x v="424"/>
    </i>
    <i>
      <x v="451"/>
    </i>
    <i>
      <x v="643"/>
    </i>
    <i>
      <x v="651"/>
    </i>
    <i>
      <x v="862"/>
    </i>
    <i>
      <x v="801"/>
    </i>
    <i>
      <x v="739"/>
    </i>
    <i>
      <x v="466"/>
    </i>
    <i>
      <x v="550"/>
    </i>
    <i>
      <x v="5"/>
    </i>
    <i>
      <x v="16"/>
    </i>
    <i>
      <x v="243"/>
    </i>
    <i>
      <x v="146"/>
    </i>
    <i>
      <x v="888"/>
    </i>
    <i>
      <x v="859"/>
    </i>
    <i>
      <x v="850"/>
    </i>
    <i>
      <x v="846"/>
    </i>
    <i>
      <x v="689"/>
    </i>
    <i>
      <x v="99"/>
    </i>
    <i>
      <x v="217"/>
    </i>
    <i>
      <x v="90"/>
    </i>
    <i>
      <x v="698"/>
    </i>
    <i>
      <x v="822"/>
    </i>
    <i>
      <x v="195"/>
    </i>
    <i>
      <x v="178"/>
    </i>
    <i>
      <x v="597"/>
    </i>
    <i>
      <x v="898"/>
    </i>
    <i>
      <x v="748"/>
    </i>
    <i>
      <x v="481"/>
    </i>
    <i>
      <x v="440"/>
    </i>
    <i>
      <x v="169"/>
    </i>
    <i>
      <x v="885"/>
    </i>
    <i>
      <x v="799"/>
    </i>
    <i>
      <x v="908"/>
    </i>
    <i>
      <x v="891"/>
    </i>
    <i>
      <x v="124"/>
    </i>
    <i>
      <x v="62"/>
    </i>
    <i>
      <x v="18"/>
    </i>
    <i>
      <x v="184"/>
    </i>
    <i>
      <x v="360"/>
    </i>
    <i>
      <x v="235"/>
    </i>
    <i>
      <x v="337"/>
    </i>
    <i>
      <x v="213"/>
    </i>
    <i>
      <x v="123"/>
    </i>
    <i>
      <x v="9"/>
    </i>
    <i>
      <x v="823"/>
    </i>
    <i>
      <x v="431"/>
    </i>
    <i>
      <x v="452"/>
    </i>
    <i>
      <x v="14"/>
    </i>
    <i>
      <x v="625"/>
    </i>
    <i>
      <x v="770"/>
    </i>
    <i>
      <x v="571"/>
    </i>
    <i>
      <x v="426"/>
    </i>
    <i>
      <x v="522"/>
    </i>
    <i>
      <x v="256"/>
    </i>
    <i>
      <x v="340"/>
    </i>
    <i>
      <x v="787"/>
    </i>
    <i>
      <x v="683"/>
    </i>
    <i>
      <x v="109"/>
    </i>
    <i>
      <x v="298"/>
    </i>
    <i>
      <x v="106"/>
    </i>
    <i>
      <x v="902"/>
    </i>
    <i>
      <x v="343"/>
    </i>
    <i>
      <x v="491"/>
    </i>
    <i>
      <x v="11"/>
    </i>
    <i>
      <x v="876"/>
    </i>
    <i>
      <x v="701"/>
    </i>
    <i>
      <x v="817"/>
    </i>
    <i>
      <x v="812"/>
    </i>
    <i>
      <x v="311"/>
    </i>
    <i>
      <x v="304"/>
    </i>
    <i>
      <x v="41"/>
    </i>
    <i>
      <x v="659"/>
    </i>
    <i>
      <x v="488"/>
    </i>
    <i>
      <x v="398"/>
    </i>
    <i>
      <x v="445"/>
    </i>
    <i>
      <x v="443"/>
    </i>
    <i>
      <x v="244"/>
    </i>
    <i>
      <x v="149"/>
    </i>
    <i>
      <x v="260"/>
    </i>
    <i>
      <x v="162"/>
    </i>
    <i>
      <x v="816"/>
    </i>
    <i>
      <x v="718"/>
    </i>
    <i>
      <x v="533"/>
    </i>
    <i>
      <x v="758"/>
    </i>
    <i>
      <x v="632"/>
    </i>
    <i>
      <x v="539"/>
    </i>
    <i>
      <x v="403"/>
    </i>
    <i>
      <x v="200"/>
    </i>
    <i>
      <x v="638"/>
    </i>
    <i>
      <x v="437"/>
    </i>
    <i>
      <x v="501"/>
    </i>
    <i>
      <x v="904"/>
    </i>
    <i>
      <x v="677"/>
    </i>
    <i>
      <x v="873"/>
    </i>
    <i>
      <x v="572"/>
    </i>
    <i>
      <x v="569"/>
    </i>
    <i>
      <x v="472"/>
    </i>
    <i>
      <x v="667"/>
    </i>
    <i>
      <x v="735"/>
    </i>
    <i>
      <x v="800"/>
    </i>
    <i>
      <x v="538"/>
    </i>
    <i>
      <x v="487"/>
    </i>
    <i>
      <x v="342"/>
    </i>
    <i>
      <x v="34"/>
    </i>
    <i>
      <x v="194"/>
    </i>
    <i>
      <x v="795"/>
    </i>
    <i>
      <x v="764"/>
    </i>
    <i>
      <x v="878"/>
    </i>
    <i>
      <x v="723"/>
    </i>
    <i>
      <x v="727"/>
    </i>
    <i>
      <x v="653"/>
    </i>
    <i>
      <x v="806"/>
    </i>
    <i>
      <x v="413"/>
    </i>
    <i>
      <x v="510"/>
    </i>
    <i>
      <x v="442"/>
    </i>
    <i>
      <x v="492"/>
    </i>
    <i>
      <x v="535"/>
    </i>
    <i>
      <x v="114"/>
    </i>
    <i>
      <x v="43"/>
    </i>
    <i>
      <x v="276"/>
    </i>
    <i>
      <x v="210"/>
    </i>
    <i>
      <x v="634"/>
    </i>
    <i>
      <x v="389"/>
    </i>
    <i>
      <x v="547"/>
    </i>
    <i>
      <x v="199"/>
    </i>
    <i>
      <x v="649"/>
    </i>
    <i>
      <x v="742"/>
    </i>
    <i>
      <x v="461"/>
    </i>
    <i>
      <x v="182"/>
    </i>
    <i>
      <x v="301"/>
    </i>
    <i>
      <x v="838"/>
    </i>
    <i>
      <x v="185"/>
    </i>
    <i>
      <x v="290"/>
    </i>
    <i>
      <x v="796"/>
    </i>
    <i>
      <x v="629"/>
    </i>
    <i>
      <x v="741"/>
    </i>
    <i>
      <x v="781"/>
    </i>
    <i>
      <x v="471"/>
    </i>
    <i>
      <x v="282"/>
    </i>
    <i>
      <x v="82"/>
    </i>
    <i>
      <x v="168"/>
    </i>
    <i>
      <x v="270"/>
    </i>
    <i>
      <x v="76"/>
    </i>
    <i>
      <x v="811"/>
    </i>
    <i>
      <x v="25"/>
    </i>
    <i>
      <x v="96"/>
    </i>
    <i>
      <x v="627"/>
    </i>
    <i>
      <x v="818"/>
    </i>
    <i>
      <x v="737"/>
    </i>
    <i>
      <x v="842"/>
    </i>
    <i>
      <x v="746"/>
    </i>
    <i>
      <x v="903"/>
    </i>
    <i>
      <x v="415"/>
    </i>
    <i>
      <x v="568"/>
    </i>
    <i>
      <x v="187"/>
    </i>
    <i>
      <x v="232"/>
    </i>
    <i>
      <x v="720"/>
    </i>
    <i>
      <x v="544"/>
    </i>
    <i>
      <x v="688"/>
    </i>
    <i>
      <x v="411"/>
    </i>
    <i>
      <x v="102"/>
    </i>
    <i>
      <x v="291"/>
    </i>
    <i>
      <x v="246"/>
    </i>
    <i>
      <x v="633"/>
    </i>
    <i>
      <x v="615"/>
    </i>
    <i>
      <x v="474"/>
    </i>
    <i>
      <x v="542"/>
    </i>
    <i>
      <x v="339"/>
    </i>
    <i>
      <x v="69"/>
    </i>
    <i>
      <x v="52"/>
    </i>
    <i>
      <x v="561"/>
    </i>
    <i>
      <x v="264"/>
    </i>
    <i>
      <x v="147"/>
    </i>
    <i>
      <x v="27"/>
    </i>
    <i>
      <x v="868"/>
    </i>
    <i>
      <x v="347"/>
    </i>
    <i>
      <x v="80"/>
    </i>
    <i>
      <x v="179"/>
    </i>
    <i>
      <x v="619"/>
    </i>
    <i>
      <x v="352"/>
    </i>
    <i>
      <x v="258"/>
    </i>
    <i>
      <x v="556"/>
    </i>
    <i>
      <x v="92"/>
    </i>
    <i>
      <x v="710"/>
    </i>
    <i>
      <x v="706"/>
    </i>
    <i>
      <x v="840"/>
    </i>
    <i>
      <x v="644"/>
    </i>
    <i>
      <x v="834"/>
    </i>
    <i>
      <x v="700"/>
    </i>
    <i>
      <x v="763"/>
    </i>
    <i>
      <x v="771"/>
    </i>
    <i>
      <x v="692"/>
    </i>
    <i>
      <x v="753"/>
    </i>
    <i>
      <x v="364"/>
    </i>
    <i>
      <x v="427"/>
    </i>
    <i>
      <x v="377"/>
    </i>
    <i>
      <x v="532"/>
    </i>
    <i>
      <x v="75"/>
    </i>
    <i>
      <x v="65"/>
    </i>
    <i>
      <x v="268"/>
    </i>
    <i>
      <x v="7"/>
    </i>
    <i>
      <x v="21"/>
    </i>
    <i>
      <x v="201"/>
    </i>
    <i>
      <x v="317"/>
    </i>
    <i>
      <x v="32"/>
    </i>
    <i>
      <x v="732"/>
    </i>
    <i>
      <x v="782"/>
    </i>
    <i>
      <x v="367"/>
    </i>
    <i>
      <x v="453"/>
    </i>
    <i>
      <x v="557"/>
    </i>
    <i>
      <x v="680"/>
    </i>
    <i>
      <x v="590"/>
    </i>
    <i>
      <x v="228"/>
    </i>
    <i>
      <x v="97"/>
    </i>
    <i>
      <x v="872"/>
    </i>
    <i>
      <x v="203"/>
    </i>
    <i>
      <x v="794"/>
    </i>
    <i>
      <x v="672"/>
    </i>
    <i>
      <x v="869"/>
    </i>
    <i>
      <x v="892"/>
    </i>
    <i>
      <x v="637"/>
    </i>
    <i>
      <x v="663"/>
    </i>
    <i>
      <x v="351"/>
    </i>
    <i>
      <x v="575"/>
    </i>
    <i>
      <x v="275"/>
    </i>
    <i>
      <x v="59"/>
    </i>
    <i>
      <x v="416"/>
    </i>
    <i>
      <x v="754"/>
    </i>
    <i>
      <x v="849"/>
    </i>
    <i>
      <x v="895"/>
    </i>
    <i>
      <x v="418"/>
    </i>
    <i>
      <x v="399"/>
    </i>
    <i>
      <x v="536"/>
    </i>
    <i>
      <x v="395"/>
    </i>
    <i>
      <x v="355"/>
    </i>
    <i>
      <x v="494"/>
    </i>
    <i>
      <x v="121"/>
    </i>
    <i>
      <x v="113"/>
    </i>
    <i>
      <x v="85"/>
    </i>
    <i>
      <x v="703"/>
    </i>
    <i>
      <x v="441"/>
    </i>
    <i>
      <x v="89"/>
    </i>
    <i>
      <x v="684"/>
    </i>
    <i>
      <x v="219"/>
    </i>
    <i>
      <x v="807"/>
    </i>
    <i>
      <x v="469"/>
    </i>
    <i>
      <x v="318"/>
    </i>
    <i>
      <x v="118"/>
    </i>
    <i>
      <x v="31"/>
    </i>
    <i>
      <x v="214"/>
    </i>
    <i>
      <x v="606"/>
    </i>
    <i>
      <x v="495"/>
    </i>
    <i>
      <x v="468"/>
    </i>
    <i>
      <x v="576"/>
    </i>
    <i>
      <x v="348"/>
    </i>
    <i>
      <x v="1"/>
    </i>
    <i>
      <x v="286"/>
    </i>
    <i>
      <x v="230"/>
    </i>
    <i>
      <x v="141"/>
    </i>
    <i>
      <x v="247"/>
    </i>
    <i>
      <x v="784"/>
    </i>
    <i>
      <x v="897"/>
    </i>
    <i>
      <x v="414"/>
    </i>
    <i>
      <x v="430"/>
    </i>
    <i>
      <x v="143"/>
    </i>
    <i>
      <x v="104"/>
    </i>
    <i>
      <x v="132"/>
    </i>
    <i>
      <x v="707"/>
    </i>
    <i>
      <x v="587"/>
    </i>
    <i>
      <x v="278"/>
    </i>
    <i>
      <x v="24"/>
    </i>
    <i>
      <x v="498"/>
    </i>
    <i>
      <x v="582"/>
    </i>
    <i>
      <x v="103"/>
    </i>
    <i>
      <x v="150"/>
    </i>
    <i>
      <x v="68"/>
    </i>
    <i>
      <x v="681"/>
    </i>
    <i>
      <x v="436"/>
    </i>
    <i>
      <x v="432"/>
    </i>
    <i>
      <x v="35"/>
    </i>
    <i>
      <x v="166"/>
    </i>
    <i>
      <x v="867"/>
    </i>
    <i>
      <x v="81"/>
    </i>
    <i>
      <x v="211"/>
    </i>
    <i>
      <x v="648"/>
    </i>
    <i>
      <x v="305"/>
    </i>
    <i>
      <x v="480"/>
    </i>
    <i>
      <x v="858"/>
    </i>
    <i>
      <x v="331"/>
    </i>
    <i>
      <x v="420"/>
    </i>
    <i>
      <x v="513"/>
    </i>
    <i>
      <x v="446"/>
    </i>
    <i>
      <x v="553"/>
    </i>
    <i>
      <x v="122"/>
    </i>
    <i>
      <x v="26"/>
    </i>
    <i>
      <x v="687"/>
    </i>
    <i>
      <x v="570"/>
    </i>
    <i>
      <x v="738"/>
    </i>
    <i>
      <x v="779"/>
    </i>
    <i>
      <x v="405"/>
    </i>
    <i>
      <x v="174"/>
    </i>
    <i>
      <x v="837"/>
    </i>
    <i>
      <x v="385"/>
    </i>
    <i>
      <x v="127"/>
    </i>
    <i>
      <x v="641"/>
    </i>
    <i>
      <x v="505"/>
    </i>
    <i>
      <x v="116"/>
    </i>
    <i>
      <x v="137"/>
    </i>
    <i>
      <x v="716"/>
    </i>
    <i>
      <x v="447"/>
    </i>
    <i>
      <x v="135"/>
    </i>
    <i>
      <x v="38"/>
    </i>
    <i>
      <x v="660"/>
    </i>
    <i>
      <x v="368"/>
    </i>
    <i>
      <x v="588"/>
    </i>
    <i>
      <x v="558"/>
    </i>
    <i>
      <x v="269"/>
    </i>
    <i>
      <x v="640"/>
    </i>
    <i>
      <x v="905"/>
    </i>
    <i>
      <x v="657"/>
    </i>
    <i>
      <x v="844"/>
    </i>
    <i>
      <x v="790"/>
    </i>
    <i>
      <x v="810"/>
    </i>
    <i>
      <x v="678"/>
    </i>
    <i>
      <x v="605"/>
    </i>
    <i>
      <x v="94"/>
    </i>
    <i>
      <x v="661"/>
    </i>
    <i>
      <x v="624"/>
    </i>
    <i>
      <x v="369"/>
    </i>
    <i>
      <x v="183"/>
    </i>
    <i>
      <x v="148"/>
    </i>
    <i>
      <x v="257"/>
    </i>
    <i>
      <x v="215"/>
    </i>
    <i>
      <x v="626"/>
    </i>
    <i>
      <x v="548"/>
    </i>
    <i>
      <x v="797"/>
    </i>
    <i>
      <x v="434"/>
    </i>
    <i>
      <x v="444"/>
    </i>
    <i>
      <x v="508"/>
    </i>
    <i>
      <x/>
    </i>
    <i>
      <x v="912"/>
    </i>
    <i>
      <x v="756"/>
    </i>
    <i>
      <x v="798"/>
    </i>
    <i>
      <x v="875"/>
    </i>
    <i>
      <x v="802"/>
    </i>
    <i>
      <x v="514"/>
    </i>
    <i>
      <x v="562"/>
    </i>
    <i>
      <x v="49"/>
    </i>
    <i>
      <x v="33"/>
    </i>
    <i>
      <x v="177"/>
    </i>
    <i>
      <x v="225"/>
    </i>
    <i>
      <x v="777"/>
    </i>
    <i>
      <x v="848"/>
    </i>
    <i>
      <x v="593"/>
    </i>
    <i>
      <x v="567"/>
    </i>
    <i>
      <x v="520"/>
    </i>
    <i>
      <x v="227"/>
    </i>
    <i>
      <x v="157"/>
    </i>
    <i>
      <x v="861"/>
    </i>
    <i>
      <x v="574"/>
    </i>
    <i>
      <x v="493"/>
    </i>
    <i>
      <x v="373"/>
    </i>
    <i>
      <x v="454"/>
    </i>
    <i>
      <x v="156"/>
    </i>
    <i>
      <x v="2"/>
    </i>
    <i>
      <x v="236"/>
    </i>
    <i>
      <x v="874"/>
    </i>
    <i>
      <x v="618"/>
    </i>
    <i>
      <x v="697"/>
    </i>
    <i>
      <x v="752"/>
    </i>
    <i>
      <x v="693"/>
    </i>
    <i>
      <x v="833"/>
    </i>
    <i>
      <x v="880"/>
    </i>
    <i>
      <x v="489"/>
    </i>
    <i>
      <x v="326"/>
    </i>
    <i>
      <x v="158"/>
    </i>
    <i>
      <x v="295"/>
    </i>
    <i>
      <x v="61"/>
    </i>
    <i>
      <x v="77"/>
    </i>
    <i>
      <x v="110"/>
    </i>
    <i>
      <x v="145"/>
    </i>
    <i>
      <x v="884"/>
    </i>
    <i>
      <x v="573"/>
    </i>
    <i>
      <x v="323"/>
    </i>
    <i>
      <x v="549"/>
    </i>
    <i>
      <x v="79"/>
    </i>
    <i>
      <x v="191"/>
    </i>
    <i>
      <x v="296"/>
    </i>
    <i>
      <x v="704"/>
    </i>
    <i>
      <x v="93"/>
    </i>
    <i>
      <x v="196"/>
    </i>
    <i>
      <x v="882"/>
    </i>
    <i>
      <x v="694"/>
    </i>
    <i>
      <x v="843"/>
    </i>
    <i>
      <x v="658"/>
    </i>
    <i>
      <x v="309"/>
    </i>
    <i>
      <x v="607"/>
    </i>
    <i>
      <x v="332"/>
    </i>
    <i>
      <x v="19"/>
    </i>
    <i>
      <x v="50"/>
    </i>
    <i>
      <x v="750"/>
    </i>
    <i>
      <x v="886"/>
    </i>
    <i>
      <x v="645"/>
    </i>
    <i>
      <x v="743"/>
    </i>
    <i>
      <x v="866"/>
    </i>
    <i>
      <x v="621"/>
    </i>
    <i>
      <x v="870"/>
    </i>
    <i>
      <x v="736"/>
    </i>
    <i>
      <x v="392"/>
    </i>
    <i>
      <x v="400"/>
    </i>
    <i>
      <x v="473"/>
    </i>
    <i>
      <x v="422"/>
    </i>
    <i>
      <x v="374"/>
    </i>
    <i>
      <x v="165"/>
    </i>
    <i>
      <x v="760"/>
    </i>
    <i>
      <x v="602"/>
    </i>
    <i>
      <x v="601"/>
    </i>
    <i>
      <x v="151"/>
    </i>
    <i>
      <x v="56"/>
    </i>
    <i>
      <x v="229"/>
    </i>
    <i>
      <x v="39"/>
    </i>
    <i>
      <x v="860"/>
    </i>
    <i>
      <x v="603"/>
    </i>
    <i>
      <x v="134"/>
    </i>
    <i>
      <x v="67"/>
    </i>
    <i>
      <x v="772"/>
    </i>
    <i>
      <x v="851"/>
    </i>
    <i>
      <x v="856"/>
    </i>
    <i>
      <x v="455"/>
    </i>
    <i>
      <x v="386"/>
    </i>
    <i>
      <x v="521"/>
    </i>
    <i>
      <x v="792"/>
    </i>
    <i>
      <x v="598"/>
    </i>
    <i>
      <x v="209"/>
    </i>
    <i>
      <x v="271"/>
    </i>
    <i>
      <x v="841"/>
    </i>
    <i>
      <x v="757"/>
    </i>
    <i>
      <x v="759"/>
    </i>
    <i>
      <x v="407"/>
    </i>
    <i>
      <x v="604"/>
    </i>
    <i>
      <x v="391"/>
    </i>
    <i>
      <x v="910"/>
    </i>
    <i>
      <x v="768"/>
    </i>
    <i>
      <x v="404"/>
    </i>
    <i t="grand">
      <x/>
    </i>
  </rowItems>
  <colItems count="1">
    <i/>
  </colItems>
  <dataFields count="1">
    <dataField name="% of Total Sales" fld="12" showDataAs="percentOfTotal" baseField="5" baseItem="404" numFmtId="10"/>
  </dataFields>
  <chartFormats count="4">
    <chartFormat chart="10" format="8"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E454DF5-B0C1-4A7F-9C85-472C9189DFFE}" sourceName="Size">
  <pivotTables>
    <pivotTable tabId="18" name="Total Sales"/>
    <pivotTable tabId="20" name="Total Sales"/>
    <pivotTable tabId="21" name="Total Sales"/>
    <pivotTable tabId="26" name="Total Sales"/>
    <pivotTable tabId="18" name="PivotTable4"/>
    <pivotTable tabId="29" name="Total Sales"/>
  </pivotTables>
  <data>
    <tabular pivotCacheId="41443962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08C5C4D-8D26-4E40-BAFC-51623C07BB09}" sourceName="Roast Type Name ">
  <pivotTables>
    <pivotTable tabId="18" name="Total Sales"/>
    <pivotTable tabId="20" name="Total Sales"/>
    <pivotTable tabId="21" name="Total Sales"/>
    <pivotTable tabId="26" name="Total Sales"/>
    <pivotTable tabId="18" name="PivotTable4"/>
    <pivotTable tabId="29" name="Total Sales"/>
  </pivotTables>
  <data>
    <tabular pivotCacheId="41443962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EC15037-29DE-4DB9-9879-5B543EC42124}" sourceName="Loyalty Card">
  <pivotTables>
    <pivotTable tabId="18" name="Total Sales"/>
    <pivotTable tabId="20" name="Total Sales"/>
    <pivotTable tabId="21" name="Total Sales"/>
    <pivotTable tabId="26" name="Total Sales"/>
    <pivotTable tabId="18" name="PivotTable4"/>
    <pivotTable tabId="29" name="Total Sales"/>
  </pivotTables>
  <data>
    <tabular pivotCacheId="41443962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_Type_Name" xr10:uid="{2935EA3E-B579-40BF-BFFA-C7257419E0DD}" sourceName="Coffe Type Name">
  <pivotTables>
    <pivotTable tabId="18" name="Total Sales"/>
    <pivotTable tabId="20" name="Total Sales"/>
    <pivotTable tabId="21" name="Total Sales"/>
    <pivotTable tabId="26" name="Total Sales"/>
    <pivotTable tabId="18" name="PivotTable4"/>
    <pivotTable tabId="29" name="Total Sales"/>
  </pivotTables>
  <data>
    <tabular pivotCacheId="414439627">
      <items count="4">
        <i x="2"/>
        <i x="1"/>
        <i x="3"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F836543-2038-40A5-BBDF-99542E21EC9B}" cache="Slicer_Size" caption="Size" columnCount="2" style="ecommerce slicer" rowHeight="241300"/>
  <slicer name="Roast Type Name " xr10:uid="{C7A9A073-4507-40C7-A985-365042DEC2F1}" cache="Slicer_Roast_Type_Name" caption="Roast Type Name " columnCount="3" style="ecommerce slicer" rowHeight="241300"/>
  <slicer name="Loyalty Card" xr10:uid="{25F4B90B-EA14-472E-8DCE-C26F59EACE6E}" cache="Slicer_Loyalty_Card" caption="Loyalty Card" style="ecommerce slicer" rowHeight="241300"/>
  <slicer name="Coffe Type Name" xr10:uid="{2EC8324E-8675-4883-A55D-E416B710915A}" cache="Slicer_Coffe_Type_Name" caption="Coffe Type Name" columnCount="2" style="ecommerc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10072F-F8B1-4DCC-83A9-52C124A4B866}" name="Orders" displayName="Orders" ref="A1:Q1001" totalsRowShown="0" headerRowDxfId="12">
  <autoFilter ref="A1:Q1001" xr:uid="{4610072F-F8B1-4DCC-83A9-52C124A4B866}"/>
  <tableColumns count="17">
    <tableColumn id="1" xr3:uid="{E929B93A-FC77-475D-A9EA-7F12771D666C}" name="Order ID" dataDxfId="11"/>
    <tableColumn id="2" xr3:uid="{580CC7A2-81F6-4C56-B8B9-FEA81C5683D2}" name="Order Date" dataDxfId="10"/>
    <tableColumn id="3" xr3:uid="{8B67EFD2-EA72-4CAC-8BFF-971D261BDBDB}" name="Customer ID" dataDxfId="9"/>
    <tableColumn id="4" xr3:uid="{9E1C5158-8E85-4F9A-BD3C-D789F2F7EB81}" name="Product ID"/>
    <tableColumn id="5" xr3:uid="{860A6688-1146-4D98-8348-0C85A070E799}" name="Quantity" dataDxfId="8"/>
    <tableColumn id="6" xr3:uid="{E066EF72-F4D4-4A70-BC0E-C8DB00F7BBE1}" name="Customer Name" dataDxfId="7">
      <calculatedColumnFormula>_xlfn.XLOOKUP(C2,customers!$A$1:$A$1001,customers!$B$1:$B$1001,,0)</calculatedColumnFormula>
    </tableColumn>
    <tableColumn id="7" xr3:uid="{71C79CD9-C7D9-4EA2-9AB9-BCAFBDF2A078}" name="Email" dataDxfId="6">
      <calculatedColumnFormula>IF(_xlfn.XLOOKUP(C2,customers!$A$1:$A$1001,customers!$C$1:$C$1001, ,0)=0,"",_xlfn.XLOOKUP(C2,customers!$A$1:$A$1001,customers!$C$1:$C$1001, ,0))</calculatedColumnFormula>
    </tableColumn>
    <tableColumn id="8" xr3:uid="{33D043E7-5E61-43A8-9C9E-8A5973C81148}" name="Country" dataDxfId="5">
      <calculatedColumnFormula>_xlfn.XLOOKUP(C2,customers!$A$1:$A$1001,customers!$G$1:$G$1001,,0)</calculatedColumnFormula>
    </tableColumn>
    <tableColumn id="9" xr3:uid="{31B47187-B3DB-4102-A9EC-23113E68CDFB}" name="Coffee Type">
      <calculatedColumnFormula>INDEX(products!$A$1:$G$49,MATCH(orders!$D2,products!$A$1:$A$49,0),MATCH(orders!I$1,products!$A$1:$G$1,0))</calculatedColumnFormula>
    </tableColumn>
    <tableColumn id="10" xr3:uid="{46E1B72E-8262-40A1-8AA9-C045959EC869}" name="Roast Type">
      <calculatedColumnFormula>INDEX(products!$A$1:$G$49,MATCH(orders!$D2,products!$A$1:$A$49,0),MATCH(orders!J$1,products!$A$1:$G$1,0))</calculatedColumnFormula>
    </tableColumn>
    <tableColumn id="11" xr3:uid="{B73C559C-4D8E-41A1-AB16-CAFA7F290468}" name="Size" dataDxfId="4">
      <calculatedColumnFormula>INDEX(products!$A$1:$G$49,MATCH(orders!$D2,products!$A$1:$A$49,0),MATCH(orders!K$1,products!$A$1:$G$1,0))</calculatedColumnFormula>
    </tableColumn>
    <tableColumn id="12" xr3:uid="{F59FBFBF-AB49-438F-9F8D-1DE2D2636914}" name="Unit Price" dataDxfId="3">
      <calculatedColumnFormula>INDEX(products!$A$1:$G$49,MATCH(orders!$D2,products!$A$1:$A$49,0),MATCH(orders!L$1,products!$A$1:$G$1,0))</calculatedColumnFormula>
    </tableColumn>
    <tableColumn id="13" xr3:uid="{D143FD87-E461-49ED-AD28-7073BBCD92CF}" name="Sales" dataDxfId="2">
      <calculatedColumnFormula>L2*E2</calculatedColumnFormula>
    </tableColumn>
    <tableColumn id="14" xr3:uid="{5248491F-3F9B-4827-AF5B-6FC3D97A52A7}" name="Coffe Type Name">
      <calculatedColumnFormula>IF(I2="Rob","Robusta",IF(I2="Exc","Excelsa",IF(I2="Ara","Arabica",IF(I2 = "Lib","Liberica"))))</calculatedColumnFormula>
    </tableColumn>
    <tableColumn id="15" xr3:uid="{9875DE7D-1DFF-4E2A-A645-EC2289D206AE}" name="Roast Type Name ">
      <calculatedColumnFormula>IF(J2="L","Light",IF(J2="M","Medium",IF(J2="D","Dark")))</calculatedColumnFormula>
    </tableColumn>
    <tableColumn id="16" xr3:uid="{BB3D0C29-EACC-4348-8BC5-D9C1A804CD53}" name="Loyalty Card" dataDxfId="1">
      <calculatedColumnFormula>_xlfn.XLOOKUP(Orders[[#This Row],[Customer ID]],customers!$A$1:$A$1001,customers!$I$1:$I$1001,,0)</calculatedColumnFormula>
    </tableColumn>
    <tableColumn id="17" xr3:uid="{7101342F-5E9A-498A-A296-225B171CC2D1}" name="Profit" dataDxfId="0">
      <calculatedColumnFormula>_xlfn.XLOOKUP(Orders[[#This Row],[Product ID]],products!$A$1:$A$49,products!$G$1:$G$49) *Orders[[#This Row],[Quantity]]</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EE726E3-081B-45E6-AAEA-3A4F6588DD33}" sourceName="Order Date">
  <pivotTables>
    <pivotTable tabId="18" name="Total Sales"/>
    <pivotTable tabId="20" name="Total Sales"/>
    <pivotTable tabId="21" name="Total Sales"/>
    <pivotTable tabId="26" name="Total Sales"/>
    <pivotTable tabId="18" name="PivotTable4"/>
    <pivotTable tabId="29" name="Total Sales"/>
  </pivotTables>
  <state minimalRefreshVersion="6" lastRefreshVersion="6" pivotCacheId="41443962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A307BD5-D551-4599-8AE4-B0877399259A}" cache="NativeTimeline_Order_Date" caption="Order Date" level="2" selectionLevel="0" scrollPosition="2019-01-01T00:00:00" style="Ecommerce Timeline "/>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3F560-82CB-4F7A-B7AB-E1108F3499C0}">
  <dimension ref="A1"/>
  <sheetViews>
    <sheetView showGridLines="0" showRowColHeaders="0" tabSelected="1" zoomScale="130" zoomScaleNormal="130" workbookViewId="0">
      <selection activeCell="AF19" sqref="AF19"/>
    </sheetView>
  </sheetViews>
  <sheetFormatPr defaultRowHeight="15" x14ac:dyDescent="0.25"/>
  <cols>
    <col min="1" max="1" width="1.7109375" customWidth="1"/>
    <col min="17" max="17" width="1.7109375" customWidth="1"/>
  </cols>
  <sheetData>
    <row r="1" ht="9.9499999999999993"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F283C-B9A7-4CAC-9AC1-D653CA30A76B}">
  <dimension ref="A3:D58"/>
  <sheetViews>
    <sheetView zoomScaleNormal="100" workbookViewId="0">
      <selection activeCell="AJ37" sqref="AJ37"/>
    </sheetView>
  </sheetViews>
  <sheetFormatPr defaultRowHeight="15" x14ac:dyDescent="0.25"/>
  <cols>
    <col min="1" max="1" width="12.140625" bestFit="1" customWidth="1"/>
    <col min="2" max="2" width="22" bestFit="1" customWidth="1"/>
    <col min="3" max="3" width="18.7109375" bestFit="1" customWidth="1"/>
    <col min="4" max="4" width="11.28515625" bestFit="1" customWidth="1"/>
    <col min="5" max="6" width="18.7109375" bestFit="1" customWidth="1"/>
    <col min="7" max="7" width="11.28515625" bestFit="1" customWidth="1"/>
  </cols>
  <sheetData>
    <row r="3" spans="1:4" x14ac:dyDescent="0.25">
      <c r="A3" s="6" t="s">
        <v>6217</v>
      </c>
      <c r="C3" s="6" t="s">
        <v>6196</v>
      </c>
    </row>
    <row r="4" spans="1:4" x14ac:dyDescent="0.25">
      <c r="A4" s="6" t="s">
        <v>6214</v>
      </c>
      <c r="B4" s="6" t="s">
        <v>6215</v>
      </c>
      <c r="C4" t="s">
        <v>6216</v>
      </c>
      <c r="D4" t="s">
        <v>6218</v>
      </c>
    </row>
    <row r="5" spans="1:4" x14ac:dyDescent="0.25">
      <c r="A5" t="s">
        <v>6198</v>
      </c>
      <c r="B5" t="s">
        <v>6202</v>
      </c>
      <c r="C5" s="12">
        <v>213.16</v>
      </c>
      <c r="D5" s="12">
        <v>213.16</v>
      </c>
    </row>
    <row r="6" spans="1:4" x14ac:dyDescent="0.25">
      <c r="B6" t="s">
        <v>6203</v>
      </c>
      <c r="C6" s="12">
        <v>434.03999999999996</v>
      </c>
      <c r="D6" s="12">
        <v>434.03999999999996</v>
      </c>
    </row>
    <row r="7" spans="1:4" x14ac:dyDescent="0.25">
      <c r="B7" t="s">
        <v>6204</v>
      </c>
      <c r="C7" s="12">
        <v>321.03999999999996</v>
      </c>
      <c r="D7" s="12">
        <v>321.03999999999996</v>
      </c>
    </row>
    <row r="8" spans="1:4" x14ac:dyDescent="0.25">
      <c r="B8" t="s">
        <v>6205</v>
      </c>
      <c r="C8" s="12">
        <v>533.70499999999993</v>
      </c>
      <c r="D8" s="12">
        <v>533.70499999999993</v>
      </c>
    </row>
    <row r="9" spans="1:4" x14ac:dyDescent="0.25">
      <c r="B9" t="s">
        <v>6206</v>
      </c>
      <c r="C9" s="12">
        <v>193.83499999999998</v>
      </c>
      <c r="D9" s="12">
        <v>193.83499999999998</v>
      </c>
    </row>
    <row r="10" spans="1:4" x14ac:dyDescent="0.25">
      <c r="B10" t="s">
        <v>6207</v>
      </c>
      <c r="C10" s="12">
        <v>171.04499999999999</v>
      </c>
      <c r="D10" s="12">
        <v>171.04499999999999</v>
      </c>
    </row>
    <row r="11" spans="1:4" x14ac:dyDescent="0.25">
      <c r="B11" t="s">
        <v>6208</v>
      </c>
      <c r="C11" s="12">
        <v>184.13</v>
      </c>
      <c r="D11" s="12">
        <v>184.13</v>
      </c>
    </row>
    <row r="12" spans="1:4" x14ac:dyDescent="0.25">
      <c r="B12" t="s">
        <v>6209</v>
      </c>
      <c r="C12" s="12">
        <v>134.23000000000002</v>
      </c>
      <c r="D12" s="12">
        <v>134.23000000000002</v>
      </c>
    </row>
    <row r="13" spans="1:4" x14ac:dyDescent="0.25">
      <c r="B13" t="s">
        <v>6210</v>
      </c>
      <c r="C13" s="12">
        <v>439.30999999999995</v>
      </c>
      <c r="D13" s="12">
        <v>439.30999999999995</v>
      </c>
    </row>
    <row r="14" spans="1:4" x14ac:dyDescent="0.25">
      <c r="B14" t="s">
        <v>6211</v>
      </c>
      <c r="C14" s="12">
        <v>215.55499999999998</v>
      </c>
      <c r="D14" s="12">
        <v>215.55499999999998</v>
      </c>
    </row>
    <row r="15" spans="1:4" x14ac:dyDescent="0.25">
      <c r="B15" t="s">
        <v>6212</v>
      </c>
      <c r="C15" s="12">
        <v>350.89499999999992</v>
      </c>
      <c r="D15" s="12">
        <v>350.89499999999992</v>
      </c>
    </row>
    <row r="16" spans="1:4" x14ac:dyDescent="0.25">
      <c r="B16" t="s">
        <v>6213</v>
      </c>
      <c r="C16" s="12">
        <v>187.06</v>
      </c>
      <c r="D16" s="12">
        <v>187.06</v>
      </c>
    </row>
    <row r="17" spans="1:4" x14ac:dyDescent="0.25">
      <c r="A17" t="s">
        <v>6199</v>
      </c>
      <c r="B17" t="s">
        <v>6202</v>
      </c>
      <c r="C17" s="12">
        <v>274.67500000000001</v>
      </c>
      <c r="D17" s="12">
        <v>274.67500000000001</v>
      </c>
    </row>
    <row r="18" spans="1:4" x14ac:dyDescent="0.25">
      <c r="B18" t="s">
        <v>6203</v>
      </c>
      <c r="C18" s="12">
        <v>194.17499999999998</v>
      </c>
      <c r="D18" s="12">
        <v>194.17499999999998</v>
      </c>
    </row>
    <row r="19" spans="1:4" x14ac:dyDescent="0.25">
      <c r="B19" t="s">
        <v>6204</v>
      </c>
      <c r="C19" s="12">
        <v>281.20499999999998</v>
      </c>
      <c r="D19" s="12">
        <v>281.20499999999998</v>
      </c>
    </row>
    <row r="20" spans="1:4" x14ac:dyDescent="0.25">
      <c r="B20" t="s">
        <v>6205</v>
      </c>
      <c r="C20" s="12">
        <v>147.51000000000002</v>
      </c>
      <c r="D20" s="12">
        <v>147.51000000000002</v>
      </c>
    </row>
    <row r="21" spans="1:4" x14ac:dyDescent="0.25">
      <c r="B21" t="s">
        <v>6206</v>
      </c>
      <c r="C21" s="12">
        <v>83.429999999999993</v>
      </c>
      <c r="D21" s="12">
        <v>83.429999999999993</v>
      </c>
    </row>
    <row r="22" spans="1:4" x14ac:dyDescent="0.25">
      <c r="B22" t="s">
        <v>6207</v>
      </c>
      <c r="C22" s="12">
        <v>355.33999999999992</v>
      </c>
      <c r="D22" s="12">
        <v>355.33999999999992</v>
      </c>
    </row>
    <row r="23" spans="1:4" x14ac:dyDescent="0.25">
      <c r="B23" t="s">
        <v>6208</v>
      </c>
      <c r="C23" s="12">
        <v>236.315</v>
      </c>
      <c r="D23" s="12">
        <v>236.315</v>
      </c>
    </row>
    <row r="24" spans="1:4" x14ac:dyDescent="0.25">
      <c r="B24" t="s">
        <v>6209</v>
      </c>
      <c r="C24" s="12">
        <v>60.5</v>
      </c>
      <c r="D24" s="12">
        <v>60.5</v>
      </c>
    </row>
    <row r="25" spans="1:4" x14ac:dyDescent="0.25">
      <c r="B25" t="s">
        <v>6210</v>
      </c>
      <c r="C25" s="12">
        <v>89.13</v>
      </c>
      <c r="D25" s="12">
        <v>89.13</v>
      </c>
    </row>
    <row r="26" spans="1:4" x14ac:dyDescent="0.25">
      <c r="B26" t="s">
        <v>6211</v>
      </c>
      <c r="C26" s="12">
        <v>440.96499999999992</v>
      </c>
      <c r="D26" s="12">
        <v>440.96499999999992</v>
      </c>
    </row>
    <row r="27" spans="1:4" x14ac:dyDescent="0.25">
      <c r="B27" t="s">
        <v>6212</v>
      </c>
      <c r="C27" s="12">
        <v>347.03999999999996</v>
      </c>
      <c r="D27" s="12">
        <v>347.03999999999996</v>
      </c>
    </row>
    <row r="28" spans="1:4" x14ac:dyDescent="0.25">
      <c r="B28" t="s">
        <v>6213</v>
      </c>
      <c r="C28" s="12">
        <v>94.17</v>
      </c>
      <c r="D28" s="12">
        <v>94.17</v>
      </c>
    </row>
    <row r="29" spans="1:4" x14ac:dyDescent="0.25">
      <c r="A29" t="s">
        <v>6200</v>
      </c>
      <c r="B29" t="s">
        <v>6202</v>
      </c>
      <c r="C29" s="12">
        <v>279.52</v>
      </c>
      <c r="D29" s="12">
        <v>279.52</v>
      </c>
    </row>
    <row r="30" spans="1:4" x14ac:dyDescent="0.25">
      <c r="B30" t="s">
        <v>6203</v>
      </c>
      <c r="C30" s="12">
        <v>251.83</v>
      </c>
      <c r="D30" s="12">
        <v>251.83</v>
      </c>
    </row>
    <row r="31" spans="1:4" x14ac:dyDescent="0.25">
      <c r="B31" t="s">
        <v>6204</v>
      </c>
      <c r="C31" s="12">
        <v>405.05500000000001</v>
      </c>
      <c r="D31" s="12">
        <v>405.05500000000001</v>
      </c>
    </row>
    <row r="32" spans="1:4" x14ac:dyDescent="0.25">
      <c r="B32" t="s">
        <v>6205</v>
      </c>
      <c r="C32" s="12">
        <v>554.875</v>
      </c>
      <c r="D32" s="12">
        <v>554.875</v>
      </c>
    </row>
    <row r="33" spans="1:4" x14ac:dyDescent="0.25">
      <c r="B33" t="s">
        <v>6206</v>
      </c>
      <c r="C33" s="12">
        <v>267.2</v>
      </c>
      <c r="D33" s="12">
        <v>267.2</v>
      </c>
    </row>
    <row r="34" spans="1:4" x14ac:dyDescent="0.25">
      <c r="B34" t="s">
        <v>6207</v>
      </c>
      <c r="C34" s="12">
        <v>209.59999999999997</v>
      </c>
      <c r="D34" s="12">
        <v>209.59999999999997</v>
      </c>
    </row>
    <row r="35" spans="1:4" x14ac:dyDescent="0.25">
      <c r="B35" t="s">
        <v>6208</v>
      </c>
      <c r="C35" s="12">
        <v>61.034999999999997</v>
      </c>
      <c r="D35" s="12">
        <v>61.034999999999997</v>
      </c>
    </row>
    <row r="36" spans="1:4" x14ac:dyDescent="0.25">
      <c r="B36" t="s">
        <v>6209</v>
      </c>
      <c r="C36" s="12">
        <v>125.58</v>
      </c>
      <c r="D36" s="12">
        <v>125.58</v>
      </c>
    </row>
    <row r="37" spans="1:4" x14ac:dyDescent="0.25">
      <c r="B37" t="s">
        <v>6210</v>
      </c>
      <c r="C37" s="12">
        <v>171.33</v>
      </c>
      <c r="D37" s="12">
        <v>171.33</v>
      </c>
    </row>
    <row r="38" spans="1:4" x14ac:dyDescent="0.25">
      <c r="B38" t="s">
        <v>6211</v>
      </c>
      <c r="C38" s="12">
        <v>584.64</v>
      </c>
      <c r="D38" s="12">
        <v>584.64</v>
      </c>
    </row>
    <row r="39" spans="1:4" x14ac:dyDescent="0.25">
      <c r="B39" t="s">
        <v>6212</v>
      </c>
      <c r="C39" s="12">
        <v>537.81000000000006</v>
      </c>
      <c r="D39" s="12">
        <v>537.81000000000006</v>
      </c>
    </row>
    <row r="40" spans="1:4" x14ac:dyDescent="0.25">
      <c r="B40" t="s">
        <v>6213</v>
      </c>
      <c r="C40" s="12">
        <v>388.22</v>
      </c>
      <c r="D40" s="12">
        <v>388.22</v>
      </c>
    </row>
    <row r="41" spans="1:4" x14ac:dyDescent="0.25">
      <c r="A41" t="s">
        <v>6201</v>
      </c>
      <c r="B41" t="s">
        <v>6202</v>
      </c>
      <c r="C41" s="12">
        <v>843.7149999999998</v>
      </c>
      <c r="D41" s="12">
        <v>843.7149999999998</v>
      </c>
    </row>
    <row r="42" spans="1:4" x14ac:dyDescent="0.25">
      <c r="B42" t="s">
        <v>6203</v>
      </c>
      <c r="C42" s="12">
        <v>91.175000000000011</v>
      </c>
      <c r="D42" s="12">
        <v>91.175000000000011</v>
      </c>
    </row>
    <row r="43" spans="1:4" x14ac:dyDescent="0.25">
      <c r="B43" t="s">
        <v>6204</v>
      </c>
      <c r="C43" s="12">
        <v>462.50999999999993</v>
      </c>
      <c r="D43" s="12">
        <v>462.50999999999993</v>
      </c>
    </row>
    <row r="44" spans="1:4" x14ac:dyDescent="0.25">
      <c r="B44" t="s">
        <v>6205</v>
      </c>
      <c r="C44" s="12">
        <v>88.545000000000002</v>
      </c>
      <c r="D44" s="12">
        <v>88.545000000000002</v>
      </c>
    </row>
    <row r="45" spans="1:4" x14ac:dyDescent="0.25">
      <c r="B45" t="s">
        <v>6206</v>
      </c>
      <c r="C45" s="12">
        <v>292.28999999999996</v>
      </c>
      <c r="D45" s="12">
        <v>292.28999999999996</v>
      </c>
    </row>
    <row r="46" spans="1:4" x14ac:dyDescent="0.25">
      <c r="B46" t="s">
        <v>6207</v>
      </c>
      <c r="C46" s="12">
        <v>170.08999999999997</v>
      </c>
      <c r="D46" s="12">
        <v>170.08999999999997</v>
      </c>
    </row>
    <row r="47" spans="1:4" x14ac:dyDescent="0.25">
      <c r="B47" t="s">
        <v>6208</v>
      </c>
      <c r="C47" s="12">
        <v>271.05500000000001</v>
      </c>
      <c r="D47" s="12">
        <v>271.05500000000001</v>
      </c>
    </row>
    <row r="48" spans="1:4" x14ac:dyDescent="0.25">
      <c r="B48" t="s">
        <v>6209</v>
      </c>
      <c r="C48" s="12">
        <v>15.54</v>
      </c>
      <c r="D48" s="12">
        <v>15.54</v>
      </c>
    </row>
    <row r="49" spans="1:4" x14ac:dyDescent="0.25">
      <c r="A49" t="s">
        <v>6218</v>
      </c>
      <c r="C49" s="12">
        <v>12054.075000000001</v>
      </c>
      <c r="D49" s="12">
        <v>12054.075000000001</v>
      </c>
    </row>
    <row r="54" spans="1:4" x14ac:dyDescent="0.25">
      <c r="A54" t="s">
        <v>6217</v>
      </c>
    </row>
    <row r="55" spans="1:4" x14ac:dyDescent="0.25">
      <c r="A55" s="7">
        <v>12054.074999999997</v>
      </c>
      <c r="B55" s="9">
        <f>GETPIVOTDATA("Sales",$A$54)/GETPIVOTDATA("Sales",$A$57)</f>
        <v>0.26707154023036378</v>
      </c>
      <c r="C55">
        <f>GETPIVOTDATA("Sales",$A$54)</f>
        <v>12054.074999999997</v>
      </c>
    </row>
    <row r="57" spans="1:4" x14ac:dyDescent="0.25">
      <c r="A57" t="s">
        <v>6217</v>
      </c>
    </row>
    <row r="58" spans="1:4" x14ac:dyDescent="0.25">
      <c r="A58" s="7">
        <v>45134.254999999997</v>
      </c>
      <c r="B58" s="7">
        <f>$A$58</f>
        <v>45134.254999999997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F49E8-ED0E-402A-A092-E9AA97604EE0}">
  <dimension ref="A3:B8"/>
  <sheetViews>
    <sheetView zoomScaleNormal="100" workbookViewId="0">
      <selection activeCell="B4" sqref="B4"/>
    </sheetView>
  </sheetViews>
  <sheetFormatPr defaultRowHeight="15" x14ac:dyDescent="0.25"/>
  <cols>
    <col min="1" max="3" width="12.5703125" bestFit="1" customWidth="1"/>
    <col min="4" max="6" width="18.7109375" bestFit="1" customWidth="1"/>
    <col min="7" max="7" width="11.28515625" bestFit="1" customWidth="1"/>
  </cols>
  <sheetData>
    <row r="3" spans="1:2" x14ac:dyDescent="0.25">
      <c r="A3" t="s">
        <v>6219</v>
      </c>
    </row>
    <row r="4" spans="1:2" x14ac:dyDescent="0.25">
      <c r="A4" s="7">
        <v>1567.0297500000006</v>
      </c>
      <c r="B4" s="9">
        <f>GETPIVOTDATA("Profit",$A$3)/GETPIVOTDATA("Profit",$A$7)</f>
        <v>0.34667132381730137</v>
      </c>
    </row>
    <row r="7" spans="1:2" x14ac:dyDescent="0.25">
      <c r="A7" t="s">
        <v>6219</v>
      </c>
    </row>
    <row r="8" spans="1:2" x14ac:dyDescent="0.25">
      <c r="A8" s="7">
        <v>4520.2174000000014</v>
      </c>
      <c r="B8" s="7">
        <f>$A$8</f>
        <v>4520.2174000000014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E232-9F7C-4BDA-891C-0F664FEF123C}">
  <dimension ref="A3:D10"/>
  <sheetViews>
    <sheetView zoomScaleNormal="100" workbookViewId="0">
      <selection activeCell="A10" sqref="A10"/>
    </sheetView>
  </sheetViews>
  <sheetFormatPr defaultRowHeight="15" x14ac:dyDescent="0.25"/>
  <cols>
    <col min="1" max="1" width="14" bestFit="1" customWidth="1"/>
    <col min="2" max="2" width="12.5703125" bestFit="1" customWidth="1"/>
    <col min="3" max="914" width="16.5703125" bestFit="1" customWidth="1"/>
    <col min="915" max="915" width="11.28515625" bestFit="1" customWidth="1"/>
  </cols>
  <sheetData>
    <row r="3" spans="1:4" x14ac:dyDescent="0.25">
      <c r="A3" s="6" t="s">
        <v>6189</v>
      </c>
      <c r="B3" t="s">
        <v>6219</v>
      </c>
      <c r="C3" t="s">
        <v>6220</v>
      </c>
    </row>
    <row r="4" spans="1:4" x14ac:dyDescent="0.25">
      <c r="A4" t="s">
        <v>6191</v>
      </c>
      <c r="B4" s="7">
        <v>886.0780500000003</v>
      </c>
      <c r="C4" s="10">
        <v>141</v>
      </c>
    </row>
    <row r="5" spans="1:4" x14ac:dyDescent="0.25">
      <c r="A5" t="s">
        <v>6190</v>
      </c>
      <c r="B5" s="7">
        <v>680.9517000000003</v>
      </c>
      <c r="C5" s="10">
        <v>107</v>
      </c>
    </row>
    <row r="6" spans="1:4" x14ac:dyDescent="0.25">
      <c r="A6" t="s">
        <v>6218</v>
      </c>
      <c r="B6" s="7">
        <v>1567.0297500000013</v>
      </c>
      <c r="C6" s="10">
        <v>248</v>
      </c>
      <c r="D6" s="9">
        <f>GETPIVOTDATA("Count of Order ID",$A$3)/GETPIVOTDATA("Order ID",$A$9)</f>
        <v>0.248</v>
      </c>
    </row>
    <row r="9" spans="1:4" x14ac:dyDescent="0.25">
      <c r="A9" t="s">
        <v>6220</v>
      </c>
    </row>
    <row r="10" spans="1:4" x14ac:dyDescent="0.25">
      <c r="A10" s="10">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C35EE-B945-49B5-8F4A-8AA78F86A901}">
  <dimension ref="A3:B6"/>
  <sheetViews>
    <sheetView zoomScaleNormal="100" workbookViewId="0">
      <selection activeCell="B6" sqref="B6"/>
    </sheetView>
  </sheetViews>
  <sheetFormatPr defaultRowHeight="15" x14ac:dyDescent="0.25"/>
  <cols>
    <col min="1" max="1" width="15.42578125" bestFit="1" customWidth="1"/>
    <col min="2" max="2" width="12.140625" bestFit="1" customWidth="1"/>
    <col min="3" max="3" width="10.5703125" bestFit="1" customWidth="1"/>
    <col min="4" max="4" width="11" bestFit="1" customWidth="1"/>
    <col min="5" max="5" width="11.140625" bestFit="1" customWidth="1"/>
    <col min="6" max="6" width="8.140625" bestFit="1" customWidth="1"/>
  </cols>
  <sheetData>
    <row r="3" spans="1:2" x14ac:dyDescent="0.25">
      <c r="A3" s="6" t="s">
        <v>7</v>
      </c>
      <c r="B3" t="s">
        <v>6217</v>
      </c>
    </row>
    <row r="4" spans="1:2" x14ac:dyDescent="0.25">
      <c r="A4" t="s">
        <v>28</v>
      </c>
      <c r="B4" s="8">
        <v>7.2767508083366003E-2</v>
      </c>
    </row>
    <row r="5" spans="1:2" x14ac:dyDescent="0.25">
      <c r="A5" t="s">
        <v>318</v>
      </c>
      <c r="B5" s="8">
        <v>0.17973880202338216</v>
      </c>
    </row>
    <row r="6" spans="1:2" x14ac:dyDescent="0.25">
      <c r="A6" t="s">
        <v>19</v>
      </c>
      <c r="B6" s="8">
        <v>0.74749368989325193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59FDA-9C47-4967-91D4-E2F023DC5F1A}">
  <dimension ref="A3:G917"/>
  <sheetViews>
    <sheetView zoomScaleNormal="100" workbookViewId="0">
      <selection activeCell="E3" sqref="E3"/>
    </sheetView>
  </sheetViews>
  <sheetFormatPr defaultRowHeight="15" x14ac:dyDescent="0.25"/>
  <cols>
    <col min="1" max="1" width="17.7109375" bestFit="1" customWidth="1"/>
    <col min="2" max="3" width="12.140625" bestFit="1" customWidth="1"/>
    <col min="4" max="4" width="11" bestFit="1" customWidth="1"/>
    <col min="5" max="5" width="23.7109375" bestFit="1" customWidth="1"/>
    <col min="6" max="6" width="14.85546875" bestFit="1" customWidth="1"/>
    <col min="7" max="7" width="23.140625" customWidth="1"/>
  </cols>
  <sheetData>
    <row r="3" spans="1:7" x14ac:dyDescent="0.25">
      <c r="A3" s="6" t="s">
        <v>4</v>
      </c>
      <c r="B3" t="s">
        <v>6217</v>
      </c>
      <c r="E3" s="6" t="s">
        <v>4</v>
      </c>
      <c r="F3" t="s">
        <v>6221</v>
      </c>
      <c r="G3" t="s">
        <v>6222</v>
      </c>
    </row>
    <row r="4" spans="1:7" x14ac:dyDescent="0.25">
      <c r="A4" t="s">
        <v>4419</v>
      </c>
      <c r="B4" s="7">
        <v>182.27499999999998</v>
      </c>
      <c r="E4" t="s">
        <v>5114</v>
      </c>
      <c r="F4" s="8">
        <v>7.0250411799197649E-3</v>
      </c>
      <c r="G4" s="8">
        <f>SUM(F4:F8)</f>
        <v>3.2633971691789262E-2</v>
      </c>
    </row>
    <row r="5" spans="1:7" x14ac:dyDescent="0.25">
      <c r="A5" t="s">
        <v>1820</v>
      </c>
      <c r="B5" s="7">
        <v>182.27499999999998</v>
      </c>
      <c r="E5" t="s">
        <v>5765</v>
      </c>
      <c r="F5" s="8">
        <v>6.8029260702320129E-3</v>
      </c>
    </row>
    <row r="6" spans="1:7" x14ac:dyDescent="0.25">
      <c r="A6" t="s">
        <v>1598</v>
      </c>
      <c r="B6" s="7">
        <v>186.96499999999997</v>
      </c>
      <c r="E6" t="s">
        <v>2587</v>
      </c>
      <c r="F6" s="8">
        <v>6.4055560460674413E-3</v>
      </c>
    </row>
    <row r="7" spans="1:7" x14ac:dyDescent="0.25">
      <c r="A7" t="s">
        <v>2930</v>
      </c>
      <c r="B7" s="7">
        <v>200.78999999999996</v>
      </c>
      <c r="E7" t="s">
        <v>1598</v>
      </c>
      <c r="F7" s="8">
        <v>6.2408252889074962E-3</v>
      </c>
    </row>
    <row r="8" spans="1:7" x14ac:dyDescent="0.25">
      <c r="A8" t="s">
        <v>1386</v>
      </c>
      <c r="B8" s="7">
        <v>218.73</v>
      </c>
      <c r="E8" t="s">
        <v>3753</v>
      </c>
      <c r="F8" s="8">
        <v>6.1596231066625481E-3</v>
      </c>
    </row>
    <row r="9" spans="1:7" x14ac:dyDescent="0.25">
      <c r="A9" t="s">
        <v>6218</v>
      </c>
      <c r="B9" s="7">
        <v>971.03499999999997</v>
      </c>
      <c r="E9" t="s">
        <v>5555</v>
      </c>
      <c r="F9" s="8">
        <v>5.5639558025273638E-3</v>
      </c>
    </row>
    <row r="10" spans="1:7" x14ac:dyDescent="0.25">
      <c r="E10" t="s">
        <v>5075</v>
      </c>
      <c r="F10" s="8">
        <v>5.45505846944853E-3</v>
      </c>
    </row>
    <row r="11" spans="1:7" x14ac:dyDescent="0.25">
      <c r="E11" t="s">
        <v>1386</v>
      </c>
      <c r="F11" s="8">
        <v>4.8462082735164173E-3</v>
      </c>
    </row>
    <row r="12" spans="1:7" x14ac:dyDescent="0.25">
      <c r="E12" t="s">
        <v>3195</v>
      </c>
      <c r="F12" s="8">
        <v>4.577454529824403E-3</v>
      </c>
    </row>
    <row r="13" spans="1:7" x14ac:dyDescent="0.25">
      <c r="E13" t="s">
        <v>2454</v>
      </c>
      <c r="F13" s="8">
        <v>4.5404538083103334E-3</v>
      </c>
    </row>
    <row r="14" spans="1:7" x14ac:dyDescent="0.25">
      <c r="E14" t="s">
        <v>2275</v>
      </c>
      <c r="F14" s="8">
        <v>4.5404538083103334E-3</v>
      </c>
    </row>
    <row r="15" spans="1:7" x14ac:dyDescent="0.25">
      <c r="E15" t="s">
        <v>2046</v>
      </c>
      <c r="F15" s="8">
        <v>4.5404538083103334E-3</v>
      </c>
    </row>
    <row r="16" spans="1:7" x14ac:dyDescent="0.25">
      <c r="E16" t="s">
        <v>2177</v>
      </c>
      <c r="F16" s="8">
        <v>4.5404538083103334E-3</v>
      </c>
    </row>
    <row r="17" spans="5:6" x14ac:dyDescent="0.25">
      <c r="E17" t="s">
        <v>1472</v>
      </c>
      <c r="F17" s="8">
        <v>4.5404538083103334E-3</v>
      </c>
    </row>
    <row r="18" spans="5:6" x14ac:dyDescent="0.25">
      <c r="E18" t="s">
        <v>3820</v>
      </c>
      <c r="F18" s="8">
        <v>4.5404538083103334E-3</v>
      </c>
    </row>
    <row r="19" spans="5:6" x14ac:dyDescent="0.25">
      <c r="E19" t="s">
        <v>2930</v>
      </c>
      <c r="F19" s="8">
        <v>4.4487274687485083E-3</v>
      </c>
    </row>
    <row r="20" spans="5:6" x14ac:dyDescent="0.25">
      <c r="E20" t="s">
        <v>2246</v>
      </c>
      <c r="F20" s="8">
        <v>4.2902004253753548E-3</v>
      </c>
    </row>
    <row r="21" spans="5:6" x14ac:dyDescent="0.25">
      <c r="E21" t="s">
        <v>3656</v>
      </c>
      <c r="F21" s="8">
        <v>4.2041238965836421E-3</v>
      </c>
    </row>
    <row r="22" spans="5:6" x14ac:dyDescent="0.25">
      <c r="E22" t="s">
        <v>3841</v>
      </c>
      <c r="F22" s="8">
        <v>4.0691931217209584E-3</v>
      </c>
    </row>
    <row r="23" spans="5:6" x14ac:dyDescent="0.25">
      <c r="E23" t="s">
        <v>1820</v>
      </c>
      <c r="F23" s="8">
        <v>4.0385068945970144E-3</v>
      </c>
    </row>
    <row r="24" spans="5:6" x14ac:dyDescent="0.25">
      <c r="E24" t="s">
        <v>4419</v>
      </c>
      <c r="F24" s="8">
        <v>4.0385068945970144E-3</v>
      </c>
    </row>
    <row r="25" spans="5:6" x14ac:dyDescent="0.25">
      <c r="E25" t="s">
        <v>1628</v>
      </c>
      <c r="F25" s="8">
        <v>3.9595203244187759E-3</v>
      </c>
    </row>
    <row r="26" spans="5:6" x14ac:dyDescent="0.25">
      <c r="E26" t="s">
        <v>746</v>
      </c>
      <c r="F26" s="8">
        <v>3.9595203244187759E-3</v>
      </c>
    </row>
    <row r="27" spans="5:6" x14ac:dyDescent="0.25">
      <c r="E27" t="s">
        <v>4321</v>
      </c>
      <c r="F27" s="8">
        <v>3.9595203244187759E-3</v>
      </c>
    </row>
    <row r="28" spans="5:6" x14ac:dyDescent="0.25">
      <c r="E28" t="s">
        <v>5347</v>
      </c>
      <c r="F28" s="8">
        <v>3.9595203244187759E-3</v>
      </c>
    </row>
    <row r="29" spans="5:6" x14ac:dyDescent="0.25">
      <c r="E29" t="s">
        <v>4391</v>
      </c>
      <c r="F29" s="8">
        <v>3.9595203244187759E-3</v>
      </c>
    </row>
    <row r="30" spans="5:6" x14ac:dyDescent="0.25">
      <c r="E30" t="s">
        <v>4299</v>
      </c>
      <c r="F30" s="8">
        <v>3.9595203244187759E-3</v>
      </c>
    </row>
    <row r="31" spans="5:6" x14ac:dyDescent="0.25">
      <c r="E31" t="s">
        <v>4810</v>
      </c>
      <c r="F31" s="8">
        <v>3.9595203244187759E-3</v>
      </c>
    </row>
    <row r="32" spans="5:6" x14ac:dyDescent="0.25">
      <c r="E32" t="s">
        <v>555</v>
      </c>
      <c r="F32" s="8">
        <v>3.7837115069252782E-3</v>
      </c>
    </row>
    <row r="33" spans="5:6" x14ac:dyDescent="0.25">
      <c r="E33" t="s">
        <v>5270</v>
      </c>
      <c r="F33" s="8">
        <v>3.7149167522539102E-3</v>
      </c>
    </row>
    <row r="34" spans="5:6" x14ac:dyDescent="0.25">
      <c r="E34" t="s">
        <v>2741</v>
      </c>
      <c r="F34" s="8">
        <v>3.7149167522539102E-3</v>
      </c>
    </row>
    <row r="35" spans="5:6" x14ac:dyDescent="0.25">
      <c r="E35" t="s">
        <v>6032</v>
      </c>
      <c r="F35" s="8">
        <v>3.7149167522539102E-3</v>
      </c>
    </row>
    <row r="36" spans="5:6" x14ac:dyDescent="0.25">
      <c r="E36" t="s">
        <v>3697</v>
      </c>
      <c r="F36" s="8">
        <v>3.6537658592126925E-3</v>
      </c>
    </row>
    <row r="37" spans="5:6" x14ac:dyDescent="0.25">
      <c r="E37" t="s">
        <v>4037</v>
      </c>
      <c r="F37" s="8">
        <v>3.6274000756188348E-3</v>
      </c>
    </row>
    <row r="38" spans="5:6" x14ac:dyDescent="0.25">
      <c r="E38" t="s">
        <v>4264</v>
      </c>
      <c r="F38" s="8">
        <v>3.5931688691881541E-3</v>
      </c>
    </row>
    <row r="39" spans="5:6" x14ac:dyDescent="0.25">
      <c r="E39" t="s">
        <v>2332</v>
      </c>
      <c r="F39" s="8">
        <v>3.5538417550040387E-3</v>
      </c>
    </row>
    <row r="40" spans="5:6" x14ac:dyDescent="0.25">
      <c r="E40" t="s">
        <v>3369</v>
      </c>
      <c r="F40" s="8">
        <v>3.5227124054667525E-3</v>
      </c>
    </row>
    <row r="41" spans="5:6" x14ac:dyDescent="0.25">
      <c r="E41" t="s">
        <v>5593</v>
      </c>
      <c r="F41" s="8">
        <v>3.5034365804863686E-3</v>
      </c>
    </row>
    <row r="42" spans="5:6" x14ac:dyDescent="0.25">
      <c r="E42" t="s">
        <v>1024</v>
      </c>
      <c r="F42" s="8">
        <v>3.4397377335684343E-3</v>
      </c>
    </row>
    <row r="43" spans="5:6" x14ac:dyDescent="0.25">
      <c r="E43" t="s">
        <v>5776</v>
      </c>
      <c r="F43" s="8">
        <v>3.4397377335684343E-3</v>
      </c>
    </row>
    <row r="44" spans="5:6" x14ac:dyDescent="0.25">
      <c r="E44" t="s">
        <v>1363</v>
      </c>
      <c r="F44" s="8">
        <v>3.4397377335684343E-3</v>
      </c>
    </row>
    <row r="45" spans="5:6" x14ac:dyDescent="0.25">
      <c r="E45" t="s">
        <v>6083</v>
      </c>
      <c r="F45" s="8">
        <v>3.4397377335684343E-3</v>
      </c>
    </row>
    <row r="46" spans="5:6" x14ac:dyDescent="0.25">
      <c r="E46" t="s">
        <v>2489</v>
      </c>
      <c r="F46" s="8">
        <v>3.4397377335684343E-3</v>
      </c>
    </row>
    <row r="47" spans="5:6" x14ac:dyDescent="0.25">
      <c r="E47" t="s">
        <v>1847</v>
      </c>
      <c r="F47" s="8">
        <v>3.4397377335684343E-3</v>
      </c>
    </row>
    <row r="48" spans="5:6" x14ac:dyDescent="0.25">
      <c r="E48" t="s">
        <v>2506</v>
      </c>
      <c r="F48" s="8">
        <v>3.4397377335684343E-3</v>
      </c>
    </row>
    <row r="49" spans="5:6" x14ac:dyDescent="0.25">
      <c r="E49" t="s">
        <v>4153</v>
      </c>
      <c r="F49" s="8">
        <v>3.4017399866243451E-3</v>
      </c>
    </row>
    <row r="50" spans="5:6" x14ac:dyDescent="0.25">
      <c r="E50" t="s">
        <v>4231</v>
      </c>
      <c r="F50" s="8">
        <v>3.2996002703489799E-3</v>
      </c>
    </row>
    <row r="51" spans="5:6" x14ac:dyDescent="0.25">
      <c r="E51" t="s">
        <v>1055</v>
      </c>
      <c r="F51" s="8">
        <v>3.2996002703489799E-3</v>
      </c>
    </row>
    <row r="52" spans="5:6" x14ac:dyDescent="0.25">
      <c r="E52" t="s">
        <v>3907</v>
      </c>
      <c r="F52" s="8">
        <v>3.2996002703489799E-3</v>
      </c>
    </row>
    <row r="53" spans="5:6" x14ac:dyDescent="0.25">
      <c r="E53" t="s">
        <v>1235</v>
      </c>
      <c r="F53" s="8">
        <v>3.2996002703489799E-3</v>
      </c>
    </row>
    <row r="54" spans="5:6" x14ac:dyDescent="0.25">
      <c r="E54" t="s">
        <v>5980</v>
      </c>
      <c r="F54" s="8">
        <v>3.2996002703489799E-3</v>
      </c>
    </row>
    <row r="55" spans="5:6" x14ac:dyDescent="0.25">
      <c r="E55" t="s">
        <v>4981</v>
      </c>
      <c r="F55" s="8">
        <v>3.2996002703489799E-3</v>
      </c>
    </row>
    <row r="56" spans="5:6" x14ac:dyDescent="0.25">
      <c r="E56" t="s">
        <v>1224</v>
      </c>
      <c r="F56" s="8">
        <v>3.2996002703489799E-3</v>
      </c>
    </row>
    <row r="57" spans="5:6" x14ac:dyDescent="0.25">
      <c r="E57" t="s">
        <v>5605</v>
      </c>
      <c r="F57" s="8">
        <v>3.2996002703489799E-3</v>
      </c>
    </row>
    <row r="58" spans="5:6" x14ac:dyDescent="0.25">
      <c r="E58" t="s">
        <v>2846</v>
      </c>
      <c r="F58" s="8">
        <v>3.2996002703489799E-3</v>
      </c>
    </row>
    <row r="59" spans="5:6" x14ac:dyDescent="0.25">
      <c r="E59" t="s">
        <v>4905</v>
      </c>
      <c r="F59" s="8">
        <v>3.2308055156776115E-3</v>
      </c>
    </row>
    <row r="60" spans="5:6" x14ac:dyDescent="0.25">
      <c r="E60" t="s">
        <v>780</v>
      </c>
      <c r="F60" s="8">
        <v>3.2308055156776115E-3</v>
      </c>
    </row>
    <row r="61" spans="5:6" x14ac:dyDescent="0.25">
      <c r="E61" t="s">
        <v>1182</v>
      </c>
      <c r="F61" s="8">
        <v>3.2308055156776115E-3</v>
      </c>
    </row>
    <row r="62" spans="5:6" x14ac:dyDescent="0.25">
      <c r="E62" t="s">
        <v>3862</v>
      </c>
      <c r="F62" s="8">
        <v>3.2308055156776115E-3</v>
      </c>
    </row>
    <row r="63" spans="5:6" x14ac:dyDescent="0.25">
      <c r="E63" t="s">
        <v>4593</v>
      </c>
      <c r="F63" s="8">
        <v>3.2308055156776115E-3</v>
      </c>
    </row>
    <row r="64" spans="5:6" x14ac:dyDescent="0.25">
      <c r="E64" t="s">
        <v>4760</v>
      </c>
      <c r="F64" s="8">
        <v>3.141405568785833E-3</v>
      </c>
    </row>
    <row r="65" spans="5:6" x14ac:dyDescent="0.25">
      <c r="E65" t="s">
        <v>3216</v>
      </c>
      <c r="F65" s="8">
        <v>3.0957639602115913E-3</v>
      </c>
    </row>
    <row r="66" spans="5:6" x14ac:dyDescent="0.25">
      <c r="E66" t="s">
        <v>3420</v>
      </c>
      <c r="F66" s="8">
        <v>3.0957639602115913E-3</v>
      </c>
    </row>
    <row r="67" spans="5:6" x14ac:dyDescent="0.25">
      <c r="E67" t="s">
        <v>1948</v>
      </c>
      <c r="F67" s="8">
        <v>3.0957639602115913E-3</v>
      </c>
    </row>
    <row r="68" spans="5:6" x14ac:dyDescent="0.25">
      <c r="E68" t="s">
        <v>5335</v>
      </c>
      <c r="F68" s="8">
        <v>3.0448048826772441E-3</v>
      </c>
    </row>
    <row r="69" spans="5:6" x14ac:dyDescent="0.25">
      <c r="E69" t="s">
        <v>6009</v>
      </c>
      <c r="F69" s="8">
        <v>3.0448048826772441E-3</v>
      </c>
    </row>
    <row r="70" spans="5:6" x14ac:dyDescent="0.25">
      <c r="E70" t="s">
        <v>5651</v>
      </c>
      <c r="F70" s="8">
        <v>3.0422569288005271E-3</v>
      </c>
    </row>
    <row r="71" spans="5:6" x14ac:dyDescent="0.25">
      <c r="E71" t="s">
        <v>5172</v>
      </c>
      <c r="F71" s="8">
        <v>3.0422569288005271E-3</v>
      </c>
    </row>
    <row r="72" spans="5:6" x14ac:dyDescent="0.25">
      <c r="E72" t="s">
        <v>4838</v>
      </c>
      <c r="F72" s="8">
        <v>3.0422569288005271E-3</v>
      </c>
    </row>
    <row r="73" spans="5:6" x14ac:dyDescent="0.25">
      <c r="E73" t="s">
        <v>887</v>
      </c>
      <c r="F73" s="8">
        <v>3.0269692055402224E-3</v>
      </c>
    </row>
    <row r="74" spans="5:6" x14ac:dyDescent="0.25">
      <c r="E74" t="s">
        <v>1291</v>
      </c>
      <c r="F74" s="8">
        <v>3.0269692055402224E-3</v>
      </c>
    </row>
    <row r="75" spans="5:6" x14ac:dyDescent="0.25">
      <c r="E75" t="s">
        <v>5137</v>
      </c>
      <c r="F75" s="8">
        <v>3.0269692055402224E-3</v>
      </c>
    </row>
    <row r="76" spans="5:6" x14ac:dyDescent="0.25">
      <c r="E76" t="s">
        <v>5527</v>
      </c>
      <c r="F76" s="8">
        <v>2.9912978512661795E-3</v>
      </c>
    </row>
    <row r="77" spans="5:6" x14ac:dyDescent="0.25">
      <c r="E77" t="s">
        <v>1977</v>
      </c>
      <c r="F77" s="8">
        <v>2.9658183124990061E-3</v>
      </c>
    </row>
    <row r="78" spans="5:6" x14ac:dyDescent="0.25">
      <c r="E78" t="s">
        <v>3155</v>
      </c>
      <c r="F78" s="8">
        <v>2.9658183124990061E-3</v>
      </c>
    </row>
    <row r="79" spans="5:6" x14ac:dyDescent="0.25">
      <c r="E79" t="s">
        <v>1868</v>
      </c>
      <c r="F79" s="8">
        <v>2.9658183124990061E-3</v>
      </c>
    </row>
    <row r="80" spans="5:6" x14ac:dyDescent="0.25">
      <c r="E80" t="s">
        <v>4004</v>
      </c>
      <c r="F80" s="8">
        <v>2.9658183124990061E-3</v>
      </c>
    </row>
    <row r="81" spans="5:6" x14ac:dyDescent="0.25">
      <c r="E81" t="s">
        <v>1767</v>
      </c>
      <c r="F81" s="8">
        <v>2.8664481113070284E-3</v>
      </c>
    </row>
    <row r="82" spans="5:6" x14ac:dyDescent="0.25">
      <c r="E82" t="s">
        <v>3465</v>
      </c>
      <c r="F82" s="8">
        <v>2.802749264389095E-3</v>
      </c>
    </row>
    <row r="83" spans="5:6" x14ac:dyDescent="0.25">
      <c r="E83" t="s">
        <v>3968</v>
      </c>
      <c r="F83" s="8">
        <v>2.802749264389095E-3</v>
      </c>
    </row>
    <row r="84" spans="5:6" x14ac:dyDescent="0.25">
      <c r="E84" t="s">
        <v>5032</v>
      </c>
      <c r="F84" s="8">
        <v>2.802749264389095E-3</v>
      </c>
    </row>
    <row r="85" spans="5:6" x14ac:dyDescent="0.25">
      <c r="E85" t="s">
        <v>1381</v>
      </c>
      <c r="F85" s="8">
        <v>2.7365024635944437E-3</v>
      </c>
    </row>
    <row r="86" spans="5:6" x14ac:dyDescent="0.25">
      <c r="E86" t="s">
        <v>5497</v>
      </c>
      <c r="F86" s="8">
        <v>2.7365024635944437E-3</v>
      </c>
    </row>
    <row r="87" spans="5:6" x14ac:dyDescent="0.25">
      <c r="E87" t="s">
        <v>5695</v>
      </c>
      <c r="F87" s="8">
        <v>2.7365024635944437E-3</v>
      </c>
    </row>
    <row r="88" spans="5:6" x14ac:dyDescent="0.25">
      <c r="E88" t="s">
        <v>4435</v>
      </c>
      <c r="F88" s="8">
        <v>2.6672645865097331E-3</v>
      </c>
    </row>
    <row r="89" spans="5:6" x14ac:dyDescent="0.25">
      <c r="E89" t="s">
        <v>4305</v>
      </c>
      <c r="F89" s="8">
        <v>2.6396802162791839E-3</v>
      </c>
    </row>
    <row r="90" spans="5:6" x14ac:dyDescent="0.25">
      <c r="E90" t="s">
        <v>2657</v>
      </c>
      <c r="F90" s="8">
        <v>2.6396802162791839E-3</v>
      </c>
    </row>
    <row r="91" spans="5:6" x14ac:dyDescent="0.25">
      <c r="E91" t="s">
        <v>1755</v>
      </c>
      <c r="F91" s="8">
        <v>2.6396802162791839E-3</v>
      </c>
    </row>
    <row r="92" spans="5:6" x14ac:dyDescent="0.25">
      <c r="E92" t="s">
        <v>3902</v>
      </c>
      <c r="F92" s="8">
        <v>2.6396802162791839E-3</v>
      </c>
    </row>
    <row r="93" spans="5:6" x14ac:dyDescent="0.25">
      <c r="E93" t="s">
        <v>5836</v>
      </c>
      <c r="F93" s="8">
        <v>2.6396802162791839E-3</v>
      </c>
    </row>
    <row r="94" spans="5:6" x14ac:dyDescent="0.25">
      <c r="E94" t="s">
        <v>4463</v>
      </c>
      <c r="F94" s="8">
        <v>2.6396802162791839E-3</v>
      </c>
    </row>
    <row r="95" spans="5:6" x14ac:dyDescent="0.25">
      <c r="E95" t="s">
        <v>5307</v>
      </c>
      <c r="F95" s="8">
        <v>2.6396802162791839E-3</v>
      </c>
    </row>
    <row r="96" spans="5:6" x14ac:dyDescent="0.25">
      <c r="E96" t="s">
        <v>3114</v>
      </c>
      <c r="F96" s="8">
        <v>2.6396802162791839E-3</v>
      </c>
    </row>
    <row r="97" spans="5:6" x14ac:dyDescent="0.25">
      <c r="E97" t="s">
        <v>5782</v>
      </c>
      <c r="F97" s="8">
        <v>2.544630458617293E-3</v>
      </c>
    </row>
    <row r="98" spans="5:6" x14ac:dyDescent="0.25">
      <c r="E98" t="s">
        <v>5770</v>
      </c>
      <c r="F98" s="8">
        <v>2.5352141073337721E-3</v>
      </c>
    </row>
    <row r="99" spans="5:6" x14ac:dyDescent="0.25">
      <c r="E99" t="s">
        <v>5230</v>
      </c>
      <c r="F99" s="8">
        <v>2.5352141073337721E-3</v>
      </c>
    </row>
    <row r="100" spans="5:6" x14ac:dyDescent="0.25">
      <c r="E100" t="s">
        <v>578</v>
      </c>
      <c r="F100" s="8">
        <v>2.5352141073337721E-3</v>
      </c>
    </row>
    <row r="101" spans="5:6" x14ac:dyDescent="0.25">
      <c r="E101" t="s">
        <v>2494</v>
      </c>
      <c r="F101" s="8">
        <v>2.5352141073337721E-3</v>
      </c>
    </row>
    <row r="102" spans="5:6" x14ac:dyDescent="0.25">
      <c r="E102" t="s">
        <v>1357</v>
      </c>
      <c r="F102" s="8">
        <v>2.5352141073337721E-3</v>
      </c>
    </row>
    <row r="103" spans="5:6" x14ac:dyDescent="0.25">
      <c r="E103" t="s">
        <v>829</v>
      </c>
      <c r="F103" s="8">
        <v>2.5352141073337721E-3</v>
      </c>
    </row>
    <row r="104" spans="5:6" x14ac:dyDescent="0.25">
      <c r="E104" t="s">
        <v>707</v>
      </c>
      <c r="F104" s="8">
        <v>2.5352141073337721E-3</v>
      </c>
    </row>
    <row r="105" spans="5:6" x14ac:dyDescent="0.25">
      <c r="E105" t="s">
        <v>5533</v>
      </c>
      <c r="F105" s="8">
        <v>2.5352141073337721E-3</v>
      </c>
    </row>
    <row r="106" spans="5:6" x14ac:dyDescent="0.25">
      <c r="E106" t="s">
        <v>3529</v>
      </c>
      <c r="F106" s="8">
        <v>2.4766111681692733E-3</v>
      </c>
    </row>
    <row r="107" spans="5:6" x14ac:dyDescent="0.25">
      <c r="E107" t="s">
        <v>2201</v>
      </c>
      <c r="F107" s="8">
        <v>2.4766111681692733E-3</v>
      </c>
    </row>
    <row r="108" spans="5:6" x14ac:dyDescent="0.25">
      <c r="E108" t="s">
        <v>5733</v>
      </c>
      <c r="F108" s="8">
        <v>2.4766111681692733E-3</v>
      </c>
    </row>
    <row r="109" spans="5:6" x14ac:dyDescent="0.25">
      <c r="E109" t="s">
        <v>5991</v>
      </c>
      <c r="F109" s="8">
        <v>2.4506885069887577E-3</v>
      </c>
    </row>
    <row r="110" spans="5:6" x14ac:dyDescent="0.25">
      <c r="E110" t="s">
        <v>663</v>
      </c>
      <c r="F110" s="8">
        <v>2.4377271763984997E-3</v>
      </c>
    </row>
    <row r="111" spans="5:6" x14ac:dyDescent="0.25">
      <c r="E111" t="s">
        <v>2712</v>
      </c>
      <c r="F111" s="8">
        <v>2.4358439061417953E-3</v>
      </c>
    </row>
    <row r="112" spans="5:6" x14ac:dyDescent="0.25">
      <c r="E112" t="s">
        <v>5857</v>
      </c>
      <c r="F112" s="8">
        <v>2.4358439061417953E-3</v>
      </c>
    </row>
    <row r="113" spans="5:6" x14ac:dyDescent="0.25">
      <c r="E113" t="s">
        <v>3885</v>
      </c>
      <c r="F113" s="8">
        <v>2.4358439061417953E-3</v>
      </c>
    </row>
    <row r="114" spans="5:6" x14ac:dyDescent="0.25">
      <c r="E114" t="s">
        <v>2052</v>
      </c>
      <c r="F114" s="8">
        <v>2.4358439061417953E-3</v>
      </c>
    </row>
    <row r="115" spans="5:6" x14ac:dyDescent="0.25">
      <c r="E115" t="s">
        <v>1489</v>
      </c>
      <c r="F115" s="8">
        <v>2.4358439061417953E-3</v>
      </c>
    </row>
    <row r="116" spans="5:6" x14ac:dyDescent="0.25">
      <c r="E116" t="s">
        <v>950</v>
      </c>
      <c r="F116" s="8">
        <v>2.4231041367582086E-3</v>
      </c>
    </row>
    <row r="117" spans="5:6" x14ac:dyDescent="0.25">
      <c r="E117" t="s">
        <v>6098</v>
      </c>
      <c r="F117" s="8">
        <v>2.4231041367582086E-3</v>
      </c>
    </row>
    <row r="118" spans="5:6" x14ac:dyDescent="0.25">
      <c r="E118" t="s">
        <v>3555</v>
      </c>
      <c r="F118" s="8">
        <v>2.293158489045623E-3</v>
      </c>
    </row>
    <row r="119" spans="5:6" x14ac:dyDescent="0.25">
      <c r="E119" t="s">
        <v>2970</v>
      </c>
      <c r="F119" s="8">
        <v>2.293158489045623E-3</v>
      </c>
    </row>
    <row r="120" spans="5:6" x14ac:dyDescent="0.25">
      <c r="E120" t="s">
        <v>1003</v>
      </c>
      <c r="F120" s="8">
        <v>2.293158489045623E-3</v>
      </c>
    </row>
    <row r="121" spans="5:6" x14ac:dyDescent="0.25">
      <c r="E121" t="s">
        <v>4181</v>
      </c>
      <c r="F121" s="8">
        <v>2.293158489045623E-3</v>
      </c>
    </row>
    <row r="122" spans="5:6" x14ac:dyDescent="0.25">
      <c r="E122" t="s">
        <v>3410</v>
      </c>
      <c r="F122" s="8">
        <v>2.2804187196620363E-3</v>
      </c>
    </row>
    <row r="123" spans="5:6" x14ac:dyDescent="0.25">
      <c r="E123" t="s">
        <v>786</v>
      </c>
      <c r="F123" s="8">
        <v>2.2767629597519635E-3</v>
      </c>
    </row>
    <row r="124" spans="5:6" x14ac:dyDescent="0.25">
      <c r="E124" t="s">
        <v>4125</v>
      </c>
      <c r="F124" s="8">
        <v>2.2702269041551667E-3</v>
      </c>
    </row>
    <row r="125" spans="5:6" x14ac:dyDescent="0.25">
      <c r="E125" t="s">
        <v>1263</v>
      </c>
      <c r="F125" s="8">
        <v>2.2702269041551667E-3</v>
      </c>
    </row>
    <row r="126" spans="5:6" x14ac:dyDescent="0.25">
      <c r="E126" t="s">
        <v>973</v>
      </c>
      <c r="F126" s="8">
        <v>2.2443042429746512E-3</v>
      </c>
    </row>
    <row r="127" spans="5:6" x14ac:dyDescent="0.25">
      <c r="E127" t="s">
        <v>4633</v>
      </c>
      <c r="F127" s="8">
        <v>2.2243637343742542E-3</v>
      </c>
    </row>
    <row r="128" spans="5:6" x14ac:dyDescent="0.25">
      <c r="E128" t="s">
        <v>956</v>
      </c>
      <c r="F128" s="8">
        <v>2.2243637343742542E-3</v>
      </c>
    </row>
    <row r="129" spans="5:6" x14ac:dyDescent="0.25">
      <c r="E129" t="s">
        <v>3256</v>
      </c>
      <c r="F129" s="8">
        <v>2.1070470754419204E-3</v>
      </c>
    </row>
    <row r="130" spans="5:6" x14ac:dyDescent="0.25">
      <c r="E130" t="s">
        <v>4159</v>
      </c>
      <c r="F130" s="8">
        <v>2.1070470754419204E-3</v>
      </c>
    </row>
    <row r="131" spans="5:6" x14ac:dyDescent="0.25">
      <c r="E131" t="s">
        <v>4082</v>
      </c>
      <c r="F131" s="8">
        <v>2.1070470754419204E-3</v>
      </c>
    </row>
    <row r="132" spans="5:6" x14ac:dyDescent="0.25">
      <c r="E132" t="s">
        <v>2099</v>
      </c>
      <c r="F132" s="8">
        <v>2.1020619482918211E-3</v>
      </c>
    </row>
    <row r="133" spans="5:6" x14ac:dyDescent="0.25">
      <c r="E133" t="s">
        <v>1247</v>
      </c>
      <c r="F133" s="8">
        <v>2.1020619482918211E-3</v>
      </c>
    </row>
    <row r="134" spans="5:6" x14ac:dyDescent="0.25">
      <c r="E134" t="s">
        <v>3325</v>
      </c>
      <c r="F134" s="8">
        <v>2.0938641836449915E-3</v>
      </c>
    </row>
    <row r="135" spans="5:6" x14ac:dyDescent="0.25">
      <c r="E135" t="s">
        <v>2701</v>
      </c>
      <c r="F135" s="8">
        <v>2.0601868802309882E-3</v>
      </c>
    </row>
    <row r="136" spans="5:6" x14ac:dyDescent="0.25">
      <c r="E136" t="s">
        <v>5639</v>
      </c>
      <c r="F136" s="8">
        <v>2.028171285867018E-3</v>
      </c>
    </row>
    <row r="137" spans="5:6" x14ac:dyDescent="0.25">
      <c r="E137" t="s">
        <v>1466</v>
      </c>
      <c r="F137" s="8">
        <v>2.028171285867018E-3</v>
      </c>
    </row>
    <row r="138" spans="5:6" x14ac:dyDescent="0.25">
      <c r="E138" t="s">
        <v>763</v>
      </c>
      <c r="F138" s="8">
        <v>2.028171285867018E-3</v>
      </c>
    </row>
    <row r="139" spans="5:6" x14ac:dyDescent="0.25">
      <c r="E139" t="s">
        <v>4252</v>
      </c>
      <c r="F139" s="8">
        <v>2.028171285867018E-3</v>
      </c>
    </row>
    <row r="140" spans="5:6" x14ac:dyDescent="0.25">
      <c r="E140" t="s">
        <v>616</v>
      </c>
      <c r="F140" s="8">
        <v>2.028171285867018E-3</v>
      </c>
    </row>
    <row r="141" spans="5:6" x14ac:dyDescent="0.25">
      <c r="E141" t="s">
        <v>6119</v>
      </c>
      <c r="F141" s="8">
        <v>2.0076768742499436E-3</v>
      </c>
    </row>
    <row r="142" spans="5:6" x14ac:dyDescent="0.25">
      <c r="E142" t="s">
        <v>5441</v>
      </c>
      <c r="F142" s="8">
        <v>2.0000330126197919E-3</v>
      </c>
    </row>
    <row r="143" spans="5:6" x14ac:dyDescent="0.25">
      <c r="E143" t="s">
        <v>819</v>
      </c>
      <c r="F143" s="8">
        <v>1.979760162209388E-3</v>
      </c>
    </row>
    <row r="144" spans="5:6" x14ac:dyDescent="0.25">
      <c r="E144" t="s">
        <v>3357</v>
      </c>
      <c r="F144" s="8">
        <v>1.979760162209388E-3</v>
      </c>
    </row>
    <row r="145" spans="5:6" x14ac:dyDescent="0.25">
      <c r="E145" t="s">
        <v>5323</v>
      </c>
      <c r="F145" s="8">
        <v>1.979760162209388E-3</v>
      </c>
    </row>
    <row r="146" spans="5:6" x14ac:dyDescent="0.25">
      <c r="E146" t="s">
        <v>1824</v>
      </c>
      <c r="F146" s="8">
        <v>1.979760162209388E-3</v>
      </c>
    </row>
    <row r="147" spans="5:6" x14ac:dyDescent="0.25">
      <c r="E147" t="s">
        <v>5986</v>
      </c>
      <c r="F147" s="8">
        <v>1.979760162209388E-3</v>
      </c>
    </row>
    <row r="148" spans="5:6" x14ac:dyDescent="0.25">
      <c r="E148" t="s">
        <v>5717</v>
      </c>
      <c r="F148" s="8">
        <v>1.979760162209388E-3</v>
      </c>
    </row>
    <row r="149" spans="5:6" x14ac:dyDescent="0.25">
      <c r="E149" t="s">
        <v>4530</v>
      </c>
      <c r="F149" s="8">
        <v>1.9741103514392755E-3</v>
      </c>
    </row>
    <row r="150" spans="5:6" x14ac:dyDescent="0.25">
      <c r="E150" t="s">
        <v>2058</v>
      </c>
      <c r="F150" s="8">
        <v>1.9741103514392755E-3</v>
      </c>
    </row>
    <row r="151" spans="5:6" x14ac:dyDescent="0.25">
      <c r="E151" t="s">
        <v>4794</v>
      </c>
      <c r="F151" s="8">
        <v>1.9741103514392755E-3</v>
      </c>
    </row>
    <row r="152" spans="5:6" x14ac:dyDescent="0.25">
      <c r="E152" t="s">
        <v>2810</v>
      </c>
      <c r="F152" s="8">
        <v>1.9342293342384826E-3</v>
      </c>
    </row>
    <row r="153" spans="5:6" x14ac:dyDescent="0.25">
      <c r="E153" t="s">
        <v>2540</v>
      </c>
      <c r="F153" s="8">
        <v>1.9342293342384826E-3</v>
      </c>
    </row>
    <row r="154" spans="5:6" x14ac:dyDescent="0.25">
      <c r="E154" t="s">
        <v>1073</v>
      </c>
      <c r="F154" s="8">
        <v>1.9342293342384826E-3</v>
      </c>
    </row>
    <row r="155" spans="5:6" x14ac:dyDescent="0.25">
      <c r="E155" t="s">
        <v>2919</v>
      </c>
      <c r="F155" s="8">
        <v>1.8574583761269551E-3</v>
      </c>
    </row>
    <row r="156" spans="5:6" x14ac:dyDescent="0.25">
      <c r="E156" t="s">
        <v>5668</v>
      </c>
      <c r="F156" s="8">
        <v>1.8574583761269551E-3</v>
      </c>
    </row>
    <row r="157" spans="5:6" x14ac:dyDescent="0.25">
      <c r="E157" t="s">
        <v>5851</v>
      </c>
      <c r="F157" s="8">
        <v>1.8574583761269551E-3</v>
      </c>
    </row>
    <row r="158" spans="5:6" x14ac:dyDescent="0.25">
      <c r="E158" t="s">
        <v>3579</v>
      </c>
      <c r="F158" s="8">
        <v>1.8574583761269551E-3</v>
      </c>
    </row>
    <row r="159" spans="5:6" x14ac:dyDescent="0.25">
      <c r="E159" t="s">
        <v>3629</v>
      </c>
      <c r="F159" s="8">
        <v>1.8278799550363665E-3</v>
      </c>
    </row>
    <row r="160" spans="5:6" x14ac:dyDescent="0.25">
      <c r="E160" t="s">
        <v>1640</v>
      </c>
      <c r="F160" s="8">
        <v>1.8278799550363665E-3</v>
      </c>
    </row>
    <row r="161" spans="5:6" x14ac:dyDescent="0.25">
      <c r="E161" t="s">
        <v>4293</v>
      </c>
      <c r="F161" s="8">
        <v>1.8278799550363665E-3</v>
      </c>
    </row>
    <row r="162" spans="5:6" x14ac:dyDescent="0.25">
      <c r="E162" t="s">
        <v>4855</v>
      </c>
      <c r="F162" s="8">
        <v>1.8278799550363665E-3</v>
      </c>
    </row>
    <row r="163" spans="5:6" x14ac:dyDescent="0.25">
      <c r="E163" t="s">
        <v>4940</v>
      </c>
      <c r="F163" s="8">
        <v>1.8278799550363665E-3</v>
      </c>
    </row>
    <row r="164" spans="5:6" x14ac:dyDescent="0.25">
      <c r="E164" t="s">
        <v>514</v>
      </c>
      <c r="F164" s="8">
        <v>1.8272152714163532E-3</v>
      </c>
    </row>
    <row r="165" spans="5:6" x14ac:dyDescent="0.25">
      <c r="E165" t="s">
        <v>3804</v>
      </c>
      <c r="F165" s="8">
        <v>1.8268829296063463E-3</v>
      </c>
    </row>
    <row r="166" spans="5:6" x14ac:dyDescent="0.25">
      <c r="E166" t="s">
        <v>3055</v>
      </c>
      <c r="F166" s="8">
        <v>1.824334975729629E-3</v>
      </c>
    </row>
    <row r="167" spans="5:6" x14ac:dyDescent="0.25">
      <c r="E167" t="s">
        <v>595</v>
      </c>
      <c r="F167" s="8">
        <v>1.824334975729629E-3</v>
      </c>
    </row>
    <row r="168" spans="5:6" x14ac:dyDescent="0.25">
      <c r="E168" t="s">
        <v>5550</v>
      </c>
      <c r="F168" s="8">
        <v>1.824334975729629E-3</v>
      </c>
    </row>
    <row r="169" spans="5:6" x14ac:dyDescent="0.25">
      <c r="E169" t="s">
        <v>3685</v>
      </c>
      <c r="F169" s="8">
        <v>1.824334975729629E-3</v>
      </c>
    </row>
    <row r="170" spans="5:6" x14ac:dyDescent="0.25">
      <c r="E170" t="s">
        <v>962</v>
      </c>
      <c r="F170" s="8">
        <v>1.824334975729629E-3</v>
      </c>
    </row>
    <row r="171" spans="5:6" x14ac:dyDescent="0.25">
      <c r="E171" t="s">
        <v>5201</v>
      </c>
      <c r="F171" s="8">
        <v>1.824334975729629E-3</v>
      </c>
    </row>
    <row r="172" spans="5:6" x14ac:dyDescent="0.25">
      <c r="E172" t="s">
        <v>856</v>
      </c>
      <c r="F172" s="8">
        <v>1.824334975729629E-3</v>
      </c>
    </row>
    <row r="173" spans="5:6" x14ac:dyDescent="0.25">
      <c r="E173" t="s">
        <v>4241</v>
      </c>
      <c r="F173" s="8">
        <v>1.7873342542155599E-3</v>
      </c>
    </row>
    <row r="174" spans="5:6" x14ac:dyDescent="0.25">
      <c r="E174" t="s">
        <v>3393</v>
      </c>
      <c r="F174" s="8">
        <v>1.7558725628682671E-3</v>
      </c>
    </row>
    <row r="175" spans="5:6" x14ac:dyDescent="0.25">
      <c r="E175" t="s">
        <v>4553</v>
      </c>
      <c r="F175" s="8">
        <v>1.7558725628682671E-3</v>
      </c>
    </row>
    <row r="176" spans="5:6" x14ac:dyDescent="0.25">
      <c r="E176" t="s">
        <v>5917</v>
      </c>
      <c r="F176" s="8">
        <v>1.7558725628682671E-3</v>
      </c>
    </row>
    <row r="177" spans="5:6" x14ac:dyDescent="0.25">
      <c r="E177" t="s">
        <v>3291</v>
      </c>
      <c r="F177" s="8">
        <v>1.7558725628682671E-3</v>
      </c>
    </row>
    <row r="178" spans="5:6" x14ac:dyDescent="0.25">
      <c r="E178" t="s">
        <v>5358</v>
      </c>
      <c r="F178" s="8">
        <v>1.7215305758342503E-3</v>
      </c>
    </row>
    <row r="179" spans="5:6" x14ac:dyDescent="0.25">
      <c r="E179" t="s">
        <v>992</v>
      </c>
      <c r="F179" s="8">
        <v>1.7215305758342503E-3</v>
      </c>
    </row>
    <row r="180" spans="5:6" x14ac:dyDescent="0.25">
      <c r="E180" t="s">
        <v>1206</v>
      </c>
      <c r="F180" s="8">
        <v>1.7215305758342503E-3</v>
      </c>
    </row>
    <row r="181" spans="5:6" x14ac:dyDescent="0.25">
      <c r="E181" t="s">
        <v>4951</v>
      </c>
      <c r="F181" s="8">
        <v>1.7215305758342503E-3</v>
      </c>
    </row>
    <row r="182" spans="5:6" x14ac:dyDescent="0.25">
      <c r="E182" t="s">
        <v>4894</v>
      </c>
      <c r="F182" s="8">
        <v>1.7215305758342503E-3</v>
      </c>
    </row>
    <row r="183" spans="5:6" x14ac:dyDescent="0.25">
      <c r="E183" t="s">
        <v>589</v>
      </c>
      <c r="F183" s="8">
        <v>1.7215305758342503E-3</v>
      </c>
    </row>
    <row r="184" spans="5:6" x14ac:dyDescent="0.25">
      <c r="E184" t="s">
        <v>1273</v>
      </c>
      <c r="F184" s="8">
        <v>1.7215305758342503E-3</v>
      </c>
    </row>
    <row r="185" spans="5:6" x14ac:dyDescent="0.25">
      <c r="E185" t="s">
        <v>6103</v>
      </c>
      <c r="F185" s="8">
        <v>1.7215305758342503E-3</v>
      </c>
    </row>
    <row r="186" spans="5:6" x14ac:dyDescent="0.25">
      <c r="E186" t="s">
        <v>1738</v>
      </c>
      <c r="F186" s="8">
        <v>1.7215305758342503E-3</v>
      </c>
    </row>
    <row r="187" spans="5:6" x14ac:dyDescent="0.25">
      <c r="E187" t="s">
        <v>3998</v>
      </c>
      <c r="F187" s="8">
        <v>1.7215305758342503E-3</v>
      </c>
    </row>
    <row r="188" spans="5:6" x14ac:dyDescent="0.25">
      <c r="E188" t="s">
        <v>4025</v>
      </c>
      <c r="F188" s="8">
        <v>1.7198688667842171E-3</v>
      </c>
    </row>
    <row r="189" spans="5:6" x14ac:dyDescent="0.25">
      <c r="E189" t="s">
        <v>4095</v>
      </c>
      <c r="F189" s="8">
        <v>1.7198688667842171E-3</v>
      </c>
    </row>
    <row r="190" spans="5:6" x14ac:dyDescent="0.25">
      <c r="E190" t="s">
        <v>1369</v>
      </c>
      <c r="F190" s="8">
        <v>1.7198688667842171E-3</v>
      </c>
    </row>
    <row r="191" spans="5:6" x14ac:dyDescent="0.25">
      <c r="E191" t="s">
        <v>5485</v>
      </c>
      <c r="F191" s="8">
        <v>1.7198688667842171E-3</v>
      </c>
    </row>
    <row r="192" spans="5:6" x14ac:dyDescent="0.25">
      <c r="E192" t="s">
        <v>2896</v>
      </c>
      <c r="F192" s="8">
        <v>1.7198688667842171E-3</v>
      </c>
    </row>
    <row r="193" spans="5:6" x14ac:dyDescent="0.25">
      <c r="E193" t="s">
        <v>899</v>
      </c>
      <c r="F193" s="8">
        <v>1.7198688667842171E-3</v>
      </c>
    </row>
    <row r="194" spans="5:6" x14ac:dyDescent="0.25">
      <c r="E194" t="s">
        <v>1160</v>
      </c>
      <c r="F194" s="8">
        <v>1.7007038224071697E-3</v>
      </c>
    </row>
    <row r="195" spans="5:6" x14ac:dyDescent="0.25">
      <c r="E195" t="s">
        <v>4816</v>
      </c>
      <c r="F195" s="8">
        <v>1.6670265189931662E-3</v>
      </c>
    </row>
    <row r="196" spans="5:6" x14ac:dyDescent="0.25">
      <c r="E196" t="s">
        <v>2673</v>
      </c>
      <c r="F196" s="8">
        <v>1.6450919595327297E-3</v>
      </c>
    </row>
    <row r="197" spans="5:6" x14ac:dyDescent="0.25">
      <c r="E197" t="s">
        <v>2534</v>
      </c>
      <c r="F197" s="8">
        <v>1.6450919595327297E-3</v>
      </c>
    </row>
    <row r="198" spans="5:6" x14ac:dyDescent="0.25">
      <c r="E198" t="s">
        <v>5793</v>
      </c>
      <c r="F198" s="8">
        <v>1.6450919595327297E-3</v>
      </c>
    </row>
    <row r="199" spans="5:6" x14ac:dyDescent="0.25">
      <c r="E199" t="s">
        <v>3962</v>
      </c>
      <c r="F199" s="8">
        <v>1.6154027578388058E-3</v>
      </c>
    </row>
    <row r="200" spans="5:6" x14ac:dyDescent="0.25">
      <c r="E200" t="s">
        <v>735</v>
      </c>
      <c r="F200" s="8">
        <v>1.6154027578388058E-3</v>
      </c>
    </row>
    <row r="201" spans="5:6" x14ac:dyDescent="0.25">
      <c r="E201" t="s">
        <v>4361</v>
      </c>
      <c r="F201" s="8">
        <v>1.6154027578388058E-3</v>
      </c>
    </row>
    <row r="202" spans="5:6" x14ac:dyDescent="0.25">
      <c r="E202" t="s">
        <v>3455</v>
      </c>
      <c r="F202" s="8">
        <v>1.6154027578388058E-3</v>
      </c>
    </row>
    <row r="203" spans="5:6" x14ac:dyDescent="0.25">
      <c r="E203" t="s">
        <v>1575</v>
      </c>
      <c r="F203" s="8">
        <v>1.6151811966321349E-3</v>
      </c>
    </row>
    <row r="204" spans="5:6" x14ac:dyDescent="0.25">
      <c r="E204" t="s">
        <v>2545</v>
      </c>
      <c r="F204" s="8">
        <v>1.6151811966321349E-3</v>
      </c>
    </row>
    <row r="205" spans="5:6" x14ac:dyDescent="0.25">
      <c r="E205" t="s">
        <v>3244</v>
      </c>
      <c r="F205" s="8">
        <v>1.6151811966321349E-3</v>
      </c>
    </row>
    <row r="206" spans="5:6" x14ac:dyDescent="0.25">
      <c r="E206" t="s">
        <v>3980</v>
      </c>
      <c r="F206" s="8">
        <v>1.6151811966321349E-3</v>
      </c>
    </row>
    <row r="207" spans="5:6" x14ac:dyDescent="0.25">
      <c r="E207" t="s">
        <v>796</v>
      </c>
      <c r="F207" s="8">
        <v>1.6118577785320686E-3</v>
      </c>
    </row>
    <row r="208" spans="5:6" x14ac:dyDescent="0.25">
      <c r="E208" t="s">
        <v>2027</v>
      </c>
      <c r="F208" s="8">
        <v>1.5885938518316056E-3</v>
      </c>
    </row>
    <row r="209" spans="5:6" x14ac:dyDescent="0.25">
      <c r="E209" t="s">
        <v>4356</v>
      </c>
      <c r="F209" s="8">
        <v>1.5885938518316056E-3</v>
      </c>
    </row>
    <row r="210" spans="5:6" x14ac:dyDescent="0.25">
      <c r="E210" t="s">
        <v>1673</v>
      </c>
      <c r="F210" s="8">
        <v>1.5885938518316056E-3</v>
      </c>
    </row>
    <row r="211" spans="5:6" x14ac:dyDescent="0.25">
      <c r="E211" t="s">
        <v>1313</v>
      </c>
      <c r="F211" s="8">
        <v>1.5764079854646968E-3</v>
      </c>
    </row>
    <row r="212" spans="5:6" x14ac:dyDescent="0.25">
      <c r="E212" t="s">
        <v>3619</v>
      </c>
      <c r="F212" s="8">
        <v>1.5232332958636386E-3</v>
      </c>
    </row>
    <row r="213" spans="5:6" x14ac:dyDescent="0.25">
      <c r="E213" t="s">
        <v>2783</v>
      </c>
      <c r="F213" s="8">
        <v>1.5232332958636386E-3</v>
      </c>
    </row>
    <row r="214" spans="5:6" x14ac:dyDescent="0.25">
      <c r="E214" t="s">
        <v>1908</v>
      </c>
      <c r="F214" s="8">
        <v>1.5232332958636386E-3</v>
      </c>
    </row>
    <row r="215" spans="5:6" x14ac:dyDescent="0.25">
      <c r="E215" t="s">
        <v>4541</v>
      </c>
      <c r="F215" s="8">
        <v>1.5211284644002635E-3</v>
      </c>
    </row>
    <row r="216" spans="5:6" x14ac:dyDescent="0.25">
      <c r="E216" t="s">
        <v>1540</v>
      </c>
      <c r="F216" s="8">
        <v>1.5211284644002635E-3</v>
      </c>
    </row>
    <row r="217" spans="5:6" x14ac:dyDescent="0.25">
      <c r="E217" t="s">
        <v>4187</v>
      </c>
      <c r="F217" s="8">
        <v>1.5211284644002635E-3</v>
      </c>
    </row>
    <row r="218" spans="5:6" x14ac:dyDescent="0.25">
      <c r="E218" t="s">
        <v>1346</v>
      </c>
      <c r="F218" s="8">
        <v>1.5211284644002635E-3</v>
      </c>
    </row>
    <row r="219" spans="5:6" x14ac:dyDescent="0.25">
      <c r="E219" t="s">
        <v>4135</v>
      </c>
      <c r="F219" s="8">
        <v>1.5211284644002635E-3</v>
      </c>
    </row>
    <row r="220" spans="5:6" x14ac:dyDescent="0.25">
      <c r="E220" t="s">
        <v>1301</v>
      </c>
      <c r="F220" s="8">
        <v>1.5134846027701112E-3</v>
      </c>
    </row>
    <row r="221" spans="5:6" x14ac:dyDescent="0.25">
      <c r="E221" t="s">
        <v>1450</v>
      </c>
      <c r="F221" s="8">
        <v>1.5134846027701112E-3</v>
      </c>
    </row>
    <row r="222" spans="5:6" x14ac:dyDescent="0.25">
      <c r="E222" t="s">
        <v>3941</v>
      </c>
      <c r="F222" s="8">
        <v>1.5134846027701112E-3</v>
      </c>
    </row>
    <row r="223" spans="5:6" x14ac:dyDescent="0.25">
      <c r="E223" t="s">
        <v>2936</v>
      </c>
      <c r="F223" s="8">
        <v>1.4955381450297543E-3</v>
      </c>
    </row>
    <row r="224" spans="5:6" x14ac:dyDescent="0.25">
      <c r="E224" t="s">
        <v>5707</v>
      </c>
      <c r="F224" s="8">
        <v>1.4955381450297543E-3</v>
      </c>
    </row>
    <row r="225" spans="5:6" x14ac:dyDescent="0.25">
      <c r="E225" t="s">
        <v>3730</v>
      </c>
      <c r="F225" s="8">
        <v>1.4955381450297543E-3</v>
      </c>
    </row>
    <row r="226" spans="5:6" x14ac:dyDescent="0.25">
      <c r="E226" t="s">
        <v>4236</v>
      </c>
      <c r="F226" s="8">
        <v>1.4955381450297543E-3</v>
      </c>
    </row>
    <row r="227" spans="5:6" x14ac:dyDescent="0.25">
      <c r="E227" t="s">
        <v>3741</v>
      </c>
      <c r="F227" s="8">
        <v>1.4829091562495031E-3</v>
      </c>
    </row>
    <row r="228" spans="5:6" x14ac:dyDescent="0.25">
      <c r="E228" t="s">
        <v>4270</v>
      </c>
      <c r="F228" s="8">
        <v>1.4829091562495031E-3</v>
      </c>
    </row>
    <row r="229" spans="5:6" x14ac:dyDescent="0.25">
      <c r="E229" t="s">
        <v>3001</v>
      </c>
      <c r="F229" s="8">
        <v>1.4829091562495031E-3</v>
      </c>
    </row>
    <row r="230" spans="5:6" x14ac:dyDescent="0.25">
      <c r="E230" t="s">
        <v>4379</v>
      </c>
      <c r="F230" s="8">
        <v>1.4346088131952088E-3</v>
      </c>
    </row>
    <row r="231" spans="5:6" x14ac:dyDescent="0.25">
      <c r="E231" t="s">
        <v>2747</v>
      </c>
      <c r="F231" s="8">
        <v>1.4046980502946138E-3</v>
      </c>
    </row>
    <row r="232" spans="5:6" x14ac:dyDescent="0.25">
      <c r="E232" t="s">
        <v>4176</v>
      </c>
      <c r="F232" s="8">
        <v>1.4046980502946138E-3</v>
      </c>
    </row>
    <row r="233" spans="5:6" x14ac:dyDescent="0.25">
      <c r="E233" t="s">
        <v>3544</v>
      </c>
      <c r="F233" s="8">
        <v>1.4046980502946138E-3</v>
      </c>
    </row>
    <row r="234" spans="5:6" x14ac:dyDescent="0.25">
      <c r="E234" t="s">
        <v>1455</v>
      </c>
      <c r="F234" s="8">
        <v>1.4013746321945475E-3</v>
      </c>
    </row>
    <row r="235" spans="5:6" x14ac:dyDescent="0.25">
      <c r="E235" t="s">
        <v>2565</v>
      </c>
      <c r="F235" s="8">
        <v>1.4013746321945475E-3</v>
      </c>
    </row>
    <row r="236" spans="5:6" x14ac:dyDescent="0.25">
      <c r="E236" t="s">
        <v>5739</v>
      </c>
      <c r="F236" s="8">
        <v>1.4013746321945475E-3</v>
      </c>
    </row>
    <row r="237" spans="5:6" x14ac:dyDescent="0.25">
      <c r="E237" t="s">
        <v>3825</v>
      </c>
      <c r="F237" s="8">
        <v>1.4013746321945475E-3</v>
      </c>
    </row>
    <row r="238" spans="5:6" x14ac:dyDescent="0.25">
      <c r="E238" t="s">
        <v>4576</v>
      </c>
      <c r="F238" s="8">
        <v>1.4013746321945475E-3</v>
      </c>
    </row>
    <row r="239" spans="5:6" x14ac:dyDescent="0.25">
      <c r="E239" t="s">
        <v>752</v>
      </c>
      <c r="F239" s="8">
        <v>1.4013746321945475E-3</v>
      </c>
    </row>
    <row r="240" spans="5:6" x14ac:dyDescent="0.25">
      <c r="E240" t="s">
        <v>1477</v>
      </c>
      <c r="F240" s="8">
        <v>1.4013746321945475E-3</v>
      </c>
    </row>
    <row r="241" spans="5:6" x14ac:dyDescent="0.25">
      <c r="E241" t="s">
        <v>4031</v>
      </c>
      <c r="F241" s="8">
        <v>1.4013746321945475E-3</v>
      </c>
    </row>
    <row r="242" spans="5:6" x14ac:dyDescent="0.25">
      <c r="E242" t="s">
        <v>4014</v>
      </c>
      <c r="F242" s="8">
        <v>1.4013746321945475E-3</v>
      </c>
    </row>
    <row r="243" spans="5:6" x14ac:dyDescent="0.25">
      <c r="E243" t="s">
        <v>1375</v>
      </c>
      <c r="F243" s="8">
        <v>1.3682512317972218E-3</v>
      </c>
    </row>
    <row r="244" spans="5:6" x14ac:dyDescent="0.25">
      <c r="E244" t="s">
        <v>492</v>
      </c>
      <c r="F244" s="8">
        <v>1.3548467787936219E-3</v>
      </c>
    </row>
    <row r="245" spans="5:6" x14ac:dyDescent="0.25">
      <c r="E245" t="s">
        <v>3780</v>
      </c>
      <c r="F245" s="8">
        <v>1.3459843305267788E-3</v>
      </c>
    </row>
    <row r="246" spans="5:6" x14ac:dyDescent="0.25">
      <c r="E246" t="s">
        <v>2901</v>
      </c>
      <c r="F246" s="8">
        <v>1.3238282098596715E-3</v>
      </c>
    </row>
    <row r="247" spans="5:6" x14ac:dyDescent="0.25">
      <c r="E247" t="s">
        <v>1965</v>
      </c>
      <c r="F247" s="8">
        <v>1.3238282098596715E-3</v>
      </c>
    </row>
    <row r="248" spans="5:6" x14ac:dyDescent="0.25">
      <c r="E248" t="s">
        <v>6015</v>
      </c>
      <c r="F248" s="8">
        <v>1.3238282098596715E-3</v>
      </c>
    </row>
    <row r="249" spans="5:6" x14ac:dyDescent="0.25">
      <c r="E249" t="s">
        <v>4282</v>
      </c>
      <c r="F249" s="8">
        <v>1.3238282098596715E-3</v>
      </c>
    </row>
    <row r="250" spans="5:6" x14ac:dyDescent="0.25">
      <c r="E250" t="s">
        <v>5628</v>
      </c>
      <c r="F250" s="8">
        <v>1.3238282098596715E-3</v>
      </c>
    </row>
    <row r="251" spans="5:6" x14ac:dyDescent="0.25">
      <c r="E251" t="s">
        <v>2436</v>
      </c>
      <c r="F251" s="8">
        <v>1.3238282098596715E-3</v>
      </c>
    </row>
    <row r="252" spans="5:6" x14ac:dyDescent="0.25">
      <c r="E252" t="s">
        <v>1982</v>
      </c>
      <c r="F252" s="8">
        <v>1.3238282098596715E-3</v>
      </c>
    </row>
    <row r="253" spans="5:6" x14ac:dyDescent="0.25">
      <c r="E253" t="s">
        <v>2377</v>
      </c>
      <c r="F253" s="8">
        <v>1.3238282098596715E-3</v>
      </c>
    </row>
    <row r="254" spans="5:6" x14ac:dyDescent="0.25">
      <c r="E254" t="s">
        <v>4258</v>
      </c>
      <c r="F254" s="8">
        <v>1.322720403826316E-3</v>
      </c>
    </row>
    <row r="255" spans="5:6" x14ac:dyDescent="0.25">
      <c r="E255" t="s">
        <v>3483</v>
      </c>
      <c r="F255" s="8">
        <v>1.322720403826316E-3</v>
      </c>
    </row>
    <row r="256" spans="5:6" x14ac:dyDescent="0.25">
      <c r="E256" t="s">
        <v>880</v>
      </c>
      <c r="F256" s="8">
        <v>1.322720403826316E-3</v>
      </c>
    </row>
    <row r="257" spans="5:6" x14ac:dyDescent="0.25">
      <c r="E257" t="s">
        <v>5195</v>
      </c>
      <c r="F257" s="8">
        <v>1.322720403826316E-3</v>
      </c>
    </row>
    <row r="258" spans="5:6" x14ac:dyDescent="0.25">
      <c r="E258" t="s">
        <v>713</v>
      </c>
      <c r="F258" s="8">
        <v>1.322720403826316E-3</v>
      </c>
    </row>
    <row r="259" spans="5:6" x14ac:dyDescent="0.25">
      <c r="E259" t="s">
        <v>3489</v>
      </c>
      <c r="F259" s="8">
        <v>1.322720403826316E-3</v>
      </c>
    </row>
    <row r="260" spans="5:6" x14ac:dyDescent="0.25">
      <c r="E260" t="s">
        <v>3222</v>
      </c>
      <c r="F260" s="8">
        <v>1.319840108139592E-3</v>
      </c>
    </row>
    <row r="261" spans="5:6" x14ac:dyDescent="0.25">
      <c r="E261" t="s">
        <v>3846</v>
      </c>
      <c r="F261" s="8">
        <v>1.319840108139592E-3</v>
      </c>
    </row>
    <row r="262" spans="5:6" x14ac:dyDescent="0.25">
      <c r="E262" t="s">
        <v>4883</v>
      </c>
      <c r="F262" s="8">
        <v>1.319840108139592E-3</v>
      </c>
    </row>
    <row r="263" spans="5:6" x14ac:dyDescent="0.25">
      <c r="E263" t="s">
        <v>2398</v>
      </c>
      <c r="F263" s="8">
        <v>1.3160735676261838E-3</v>
      </c>
    </row>
    <row r="264" spans="5:6" x14ac:dyDescent="0.25">
      <c r="E264" t="s">
        <v>813</v>
      </c>
      <c r="F264" s="8">
        <v>1.3160735676261838E-3</v>
      </c>
    </row>
    <row r="265" spans="5:6" x14ac:dyDescent="0.25">
      <c r="E265" t="s">
        <v>2081</v>
      </c>
      <c r="F265" s="8">
        <v>1.3160735676261838E-3</v>
      </c>
    </row>
    <row r="266" spans="5:6" x14ac:dyDescent="0.25">
      <c r="E266" t="s">
        <v>1750</v>
      </c>
      <c r="F266" s="8">
        <v>1.3160735676261838E-3</v>
      </c>
    </row>
    <row r="267" spans="5:6" x14ac:dyDescent="0.25">
      <c r="E267" t="s">
        <v>1841</v>
      </c>
      <c r="F267" s="8">
        <v>1.3160735676261838E-3</v>
      </c>
    </row>
    <row r="268" spans="5:6" x14ac:dyDescent="0.25">
      <c r="E268" t="s">
        <v>4684</v>
      </c>
      <c r="F268" s="8">
        <v>1.2894862228256549E-3</v>
      </c>
    </row>
    <row r="269" spans="5:6" x14ac:dyDescent="0.25">
      <c r="E269" t="s">
        <v>1919</v>
      </c>
      <c r="F269" s="8">
        <v>1.2894862228256549E-3</v>
      </c>
    </row>
    <row r="270" spans="5:6" x14ac:dyDescent="0.25">
      <c r="E270" t="s">
        <v>1709</v>
      </c>
      <c r="F270" s="8">
        <v>1.2894862228256549E-3</v>
      </c>
    </row>
    <row r="271" spans="5:6" x14ac:dyDescent="0.25">
      <c r="E271" t="s">
        <v>5545</v>
      </c>
      <c r="F271" s="8">
        <v>1.2642282452651524E-3</v>
      </c>
    </row>
    <row r="272" spans="5:6" x14ac:dyDescent="0.25">
      <c r="E272" t="s">
        <v>683</v>
      </c>
      <c r="F272" s="8">
        <v>1.2642282452651524E-3</v>
      </c>
    </row>
    <row r="273" spans="5:6" x14ac:dyDescent="0.25">
      <c r="E273" t="s">
        <v>3227</v>
      </c>
      <c r="F273" s="8">
        <v>1.2642282452651524E-3</v>
      </c>
    </row>
    <row r="274" spans="5:6" x14ac:dyDescent="0.25">
      <c r="E274" t="s">
        <v>1623</v>
      </c>
      <c r="F274" s="8">
        <v>1.2642282452651524E-3</v>
      </c>
    </row>
    <row r="275" spans="5:6" x14ac:dyDescent="0.25">
      <c r="E275" t="s">
        <v>2416</v>
      </c>
      <c r="F275" s="8">
        <v>1.2555873582049803E-3</v>
      </c>
    </row>
    <row r="276" spans="5:6" x14ac:dyDescent="0.25">
      <c r="E276" t="s">
        <v>1721</v>
      </c>
      <c r="F276" s="8">
        <v>1.2462817875247953E-3</v>
      </c>
    </row>
    <row r="277" spans="5:6" x14ac:dyDescent="0.25">
      <c r="E277" t="s">
        <v>2815</v>
      </c>
      <c r="F277" s="8">
        <v>1.2462817875247953E-3</v>
      </c>
    </row>
    <row r="278" spans="5:6" x14ac:dyDescent="0.25">
      <c r="E278" t="s">
        <v>4333</v>
      </c>
      <c r="F278" s="8">
        <v>1.2462817875247953E-3</v>
      </c>
    </row>
    <row r="279" spans="5:6" x14ac:dyDescent="0.25">
      <c r="E279" t="s">
        <v>4655</v>
      </c>
      <c r="F279" s="8">
        <v>1.2462817875247953E-3</v>
      </c>
    </row>
    <row r="280" spans="5:6" x14ac:dyDescent="0.25">
      <c r="E280" t="s">
        <v>3925</v>
      </c>
      <c r="F280" s="8">
        <v>1.2383055840846367E-3</v>
      </c>
    </row>
    <row r="281" spans="5:6" x14ac:dyDescent="0.25">
      <c r="E281" t="s">
        <v>5759</v>
      </c>
      <c r="F281" s="8">
        <v>1.2185866366909109E-3</v>
      </c>
    </row>
    <row r="282" spans="5:6" x14ac:dyDescent="0.25">
      <c r="E282" t="s">
        <v>5125</v>
      </c>
      <c r="F282" s="8">
        <v>1.2185866366909109E-3</v>
      </c>
    </row>
    <row r="283" spans="5:6" x14ac:dyDescent="0.25">
      <c r="E283" t="s">
        <v>3561</v>
      </c>
      <c r="F283" s="8">
        <v>1.2179219530708977E-3</v>
      </c>
    </row>
    <row r="284" spans="5:6" x14ac:dyDescent="0.25">
      <c r="E284" t="s">
        <v>3624</v>
      </c>
      <c r="F284" s="8">
        <v>1.2179219530708977E-3</v>
      </c>
    </row>
    <row r="285" spans="5:6" x14ac:dyDescent="0.25">
      <c r="E285" t="s">
        <v>1422</v>
      </c>
      <c r="F285" s="8">
        <v>1.1897836798236711E-3</v>
      </c>
    </row>
    <row r="286" spans="5:6" x14ac:dyDescent="0.25">
      <c r="E286" t="s">
        <v>915</v>
      </c>
      <c r="F286" s="8">
        <v>1.1897836798236711E-3</v>
      </c>
    </row>
    <row r="287" spans="5:6" x14ac:dyDescent="0.25">
      <c r="E287" t="s">
        <v>1679</v>
      </c>
      <c r="F287" s="8">
        <v>1.1844662108635654E-3</v>
      </c>
    </row>
    <row r="288" spans="5:6" x14ac:dyDescent="0.25">
      <c r="E288" t="s">
        <v>5285</v>
      </c>
      <c r="F288" s="8">
        <v>1.1844662108635654E-3</v>
      </c>
    </row>
    <row r="289" spans="5:6" x14ac:dyDescent="0.25">
      <c r="E289" t="s">
        <v>4219</v>
      </c>
      <c r="F289" s="8">
        <v>1.1844662108635654E-3</v>
      </c>
    </row>
    <row r="290" spans="5:6" x14ac:dyDescent="0.25">
      <c r="E290" t="s">
        <v>3477</v>
      </c>
      <c r="F290" s="8">
        <v>1.1844662108635654E-3</v>
      </c>
    </row>
    <row r="291" spans="5:6" x14ac:dyDescent="0.25">
      <c r="E291" t="s">
        <v>2652</v>
      </c>
      <c r="F291" s="8">
        <v>1.1844662108635654E-3</v>
      </c>
    </row>
    <row r="292" spans="5:6" x14ac:dyDescent="0.25">
      <c r="E292" t="s">
        <v>5951</v>
      </c>
      <c r="F292" s="8">
        <v>1.1844662108635654E-3</v>
      </c>
    </row>
    <row r="293" spans="5:6" x14ac:dyDescent="0.25">
      <c r="E293" t="s">
        <v>3238</v>
      </c>
      <c r="F293" s="8">
        <v>1.1605376005430895E-3</v>
      </c>
    </row>
    <row r="294" spans="5:6" x14ac:dyDescent="0.25">
      <c r="E294" t="s">
        <v>4969</v>
      </c>
      <c r="F294" s="8">
        <v>1.1605376005430895E-3</v>
      </c>
    </row>
    <row r="295" spans="5:6" x14ac:dyDescent="0.25">
      <c r="E295" t="s">
        <v>1505</v>
      </c>
      <c r="F295" s="8">
        <v>1.1548877897729769E-3</v>
      </c>
    </row>
    <row r="296" spans="5:6" x14ac:dyDescent="0.25">
      <c r="E296" t="s">
        <v>2500</v>
      </c>
      <c r="F296" s="8">
        <v>1.147687050556167E-3</v>
      </c>
    </row>
    <row r="297" spans="5:6" x14ac:dyDescent="0.25">
      <c r="E297" t="s">
        <v>4198</v>
      </c>
      <c r="F297" s="8">
        <v>1.147687050556167E-3</v>
      </c>
    </row>
    <row r="298" spans="5:6" x14ac:dyDescent="0.25">
      <c r="E298" t="s">
        <v>998</v>
      </c>
      <c r="F298" s="8">
        <v>1.147687050556167E-3</v>
      </c>
    </row>
    <row r="299" spans="5:6" x14ac:dyDescent="0.25">
      <c r="E299" t="s">
        <v>2287</v>
      </c>
      <c r="F299" s="8">
        <v>1.1465792445228115E-3</v>
      </c>
    </row>
    <row r="300" spans="5:6" x14ac:dyDescent="0.25">
      <c r="E300" t="s">
        <v>1791</v>
      </c>
      <c r="F300" s="8">
        <v>1.1465792445228115E-3</v>
      </c>
    </row>
    <row r="301" spans="5:6" x14ac:dyDescent="0.25">
      <c r="E301" t="s">
        <v>2794</v>
      </c>
      <c r="F301" s="8">
        <v>1.1465792445228115E-3</v>
      </c>
    </row>
    <row r="302" spans="5:6" x14ac:dyDescent="0.25">
      <c r="E302" t="s">
        <v>1330</v>
      </c>
      <c r="F302" s="8">
        <v>1.1465792445228115E-3</v>
      </c>
    </row>
    <row r="303" spans="5:6" x14ac:dyDescent="0.25">
      <c r="E303" t="s">
        <v>3836</v>
      </c>
      <c r="F303" s="8">
        <v>1.1465792445228115E-3</v>
      </c>
    </row>
    <row r="304" spans="5:6" x14ac:dyDescent="0.25">
      <c r="E304" t="s">
        <v>5275</v>
      </c>
      <c r="F304" s="8">
        <v>1.1465792445228115E-3</v>
      </c>
    </row>
    <row r="305" spans="5:6" x14ac:dyDescent="0.25">
      <c r="E305" t="s">
        <v>4407</v>
      </c>
      <c r="F305" s="8">
        <v>1.1465792445228115E-3</v>
      </c>
    </row>
    <row r="306" spans="5:6" x14ac:dyDescent="0.25">
      <c r="E306" t="s">
        <v>561</v>
      </c>
      <c r="F306" s="8">
        <v>1.1022670031885968E-3</v>
      </c>
    </row>
    <row r="307" spans="5:6" x14ac:dyDescent="0.25">
      <c r="E307" t="s">
        <v>2129</v>
      </c>
      <c r="F307" s="8">
        <v>1.1022670031885968E-3</v>
      </c>
    </row>
    <row r="308" spans="5:6" x14ac:dyDescent="0.25">
      <c r="E308" t="s">
        <v>3102</v>
      </c>
      <c r="F308" s="8">
        <v>1.1022670031885968E-3</v>
      </c>
    </row>
    <row r="309" spans="5:6" x14ac:dyDescent="0.25">
      <c r="E309" t="s">
        <v>2789</v>
      </c>
      <c r="F309" s="8">
        <v>1.0967279730218198E-3</v>
      </c>
    </row>
    <row r="310" spans="5:6" x14ac:dyDescent="0.25">
      <c r="E310" t="s">
        <v>1268</v>
      </c>
      <c r="F310" s="8">
        <v>1.0767874644214233E-3</v>
      </c>
    </row>
    <row r="311" spans="5:6" x14ac:dyDescent="0.25">
      <c r="E311" t="s">
        <v>4064</v>
      </c>
      <c r="F311" s="8">
        <v>1.0590625678877372E-3</v>
      </c>
    </row>
    <row r="312" spans="5:6" x14ac:dyDescent="0.25">
      <c r="E312" t="s">
        <v>4171</v>
      </c>
      <c r="F312" s="8">
        <v>1.0590625678877372E-3</v>
      </c>
    </row>
    <row r="313" spans="5:6" x14ac:dyDescent="0.25">
      <c r="E313" t="s">
        <v>6060</v>
      </c>
      <c r="F313" s="8">
        <v>1.0590625678877372E-3</v>
      </c>
    </row>
    <row r="314" spans="5:6" x14ac:dyDescent="0.25">
      <c r="E314" t="s">
        <v>938</v>
      </c>
      <c r="F314" s="8">
        <v>1.0590625678877372E-3</v>
      </c>
    </row>
    <row r="315" spans="5:6" x14ac:dyDescent="0.25">
      <c r="E315" t="s">
        <v>3320</v>
      </c>
      <c r="F315" s="8">
        <v>1.0590625678877372E-3</v>
      </c>
    </row>
    <row r="316" spans="5:6" x14ac:dyDescent="0.25">
      <c r="E316" t="s">
        <v>5582</v>
      </c>
      <c r="F316" s="8">
        <v>1.0535235377209602E-3</v>
      </c>
    </row>
    <row r="317" spans="5:6" x14ac:dyDescent="0.25">
      <c r="E317" t="s">
        <v>5143</v>
      </c>
      <c r="F317" s="8">
        <v>1.0535235377209602E-3</v>
      </c>
    </row>
    <row r="318" spans="5:6" x14ac:dyDescent="0.25">
      <c r="E318" t="s">
        <v>802</v>
      </c>
      <c r="F318" s="8">
        <v>1.0535235377209602E-3</v>
      </c>
    </row>
    <row r="319" spans="5:6" x14ac:dyDescent="0.25">
      <c r="E319" t="s">
        <v>2800</v>
      </c>
      <c r="F319" s="8">
        <v>1.0535235377209602E-3</v>
      </c>
    </row>
    <row r="320" spans="5:6" x14ac:dyDescent="0.25">
      <c r="E320" t="s">
        <v>4310</v>
      </c>
      <c r="F320" s="8">
        <v>1.0535235377209602E-3</v>
      </c>
    </row>
    <row r="321" spans="5:6" x14ac:dyDescent="0.25">
      <c r="E321" t="s">
        <v>3387</v>
      </c>
      <c r="F321" s="8">
        <v>1.0535235377209602E-3</v>
      </c>
    </row>
    <row r="322" spans="5:6" x14ac:dyDescent="0.25">
      <c r="E322" t="s">
        <v>3072</v>
      </c>
      <c r="F322" s="8">
        <v>1.0535235377209602E-3</v>
      </c>
    </row>
    <row r="323" spans="5:6" x14ac:dyDescent="0.25">
      <c r="E323" t="s">
        <v>2523</v>
      </c>
      <c r="F323" s="8">
        <v>1.0444395282474461E-3</v>
      </c>
    </row>
    <row r="324" spans="5:6" x14ac:dyDescent="0.25">
      <c r="E324" t="s">
        <v>3758</v>
      </c>
      <c r="F324" s="8">
        <v>1.0438856252307687E-3</v>
      </c>
    </row>
    <row r="325" spans="5:6" x14ac:dyDescent="0.25">
      <c r="E325" t="s">
        <v>4934</v>
      </c>
      <c r="F325" s="8">
        <v>1.0405622071307024E-3</v>
      </c>
    </row>
    <row r="326" spans="5:6" x14ac:dyDescent="0.25">
      <c r="E326" t="s">
        <v>5189</v>
      </c>
      <c r="F326" s="8">
        <v>1.0375711308406429E-3</v>
      </c>
    </row>
    <row r="327" spans="5:6" x14ac:dyDescent="0.25">
      <c r="E327" t="s">
        <v>4350</v>
      </c>
      <c r="F327" s="8">
        <v>1.0329183455005503E-3</v>
      </c>
    </row>
    <row r="328" spans="5:6" x14ac:dyDescent="0.25">
      <c r="E328" t="s">
        <v>3363</v>
      </c>
      <c r="F328" s="8">
        <v>1.0329183455005503E-3</v>
      </c>
    </row>
    <row r="329" spans="5:6" x14ac:dyDescent="0.25">
      <c r="E329" t="s">
        <v>2718</v>
      </c>
      <c r="F329" s="8">
        <v>1.0329183455005503E-3</v>
      </c>
    </row>
    <row r="330" spans="5:6" x14ac:dyDescent="0.25">
      <c r="E330" t="s">
        <v>5824</v>
      </c>
      <c r="F330" s="8">
        <v>1.0329183455005503E-3</v>
      </c>
    </row>
    <row r="331" spans="5:6" x14ac:dyDescent="0.25">
      <c r="E331" t="s">
        <v>2581</v>
      </c>
      <c r="F331" s="8">
        <v>1.0329183455005503E-3</v>
      </c>
    </row>
    <row r="332" spans="5:6" x14ac:dyDescent="0.25">
      <c r="E332" t="s">
        <v>5923</v>
      </c>
      <c r="F332" s="8">
        <v>1.014085642933509E-3</v>
      </c>
    </row>
    <row r="333" spans="5:6" x14ac:dyDescent="0.25">
      <c r="E333" t="s">
        <v>4945</v>
      </c>
      <c r="F333" s="8">
        <v>1.014085642933509E-3</v>
      </c>
    </row>
    <row r="334" spans="5:6" x14ac:dyDescent="0.25">
      <c r="E334" t="s">
        <v>1835</v>
      </c>
      <c r="F334" s="8">
        <v>1.014085642933509E-3</v>
      </c>
    </row>
    <row r="335" spans="5:6" x14ac:dyDescent="0.25">
      <c r="E335" t="s">
        <v>4193</v>
      </c>
      <c r="F335" s="8">
        <v>1.014085642933509E-3</v>
      </c>
    </row>
    <row r="336" spans="5:6" x14ac:dyDescent="0.25">
      <c r="E336" t="s">
        <v>3512</v>
      </c>
      <c r="F336" s="8">
        <v>1.014085642933509E-3</v>
      </c>
    </row>
    <row r="337" spans="5:6" x14ac:dyDescent="0.25">
      <c r="E337" t="s">
        <v>4213</v>
      </c>
      <c r="F337" s="8">
        <v>1.014085642933509E-3</v>
      </c>
    </row>
    <row r="338" spans="5:6" x14ac:dyDescent="0.25">
      <c r="E338" t="s">
        <v>1851</v>
      </c>
      <c r="F338" s="8">
        <v>1.014085642933509E-3</v>
      </c>
    </row>
    <row r="339" spans="5:6" x14ac:dyDescent="0.25">
      <c r="E339" t="s">
        <v>2387</v>
      </c>
      <c r="F339" s="8">
        <v>9.9702543001983627E-4</v>
      </c>
    </row>
    <row r="340" spans="5:6" x14ac:dyDescent="0.25">
      <c r="E340" t="s">
        <v>5645</v>
      </c>
      <c r="F340" s="8">
        <v>9.9702543001983627E-4</v>
      </c>
    </row>
    <row r="341" spans="5:6" x14ac:dyDescent="0.25">
      <c r="E341" t="s">
        <v>3078</v>
      </c>
      <c r="F341" s="8">
        <v>9.9702543001983627E-4</v>
      </c>
    </row>
    <row r="342" spans="5:6" x14ac:dyDescent="0.25">
      <c r="E342" t="s">
        <v>5662</v>
      </c>
      <c r="F342" s="8">
        <v>9.9702543001983627E-4</v>
      </c>
    </row>
    <row r="343" spans="5:6" x14ac:dyDescent="0.25">
      <c r="E343" t="s">
        <v>3495</v>
      </c>
      <c r="F343" s="8">
        <v>9.9148639985305949E-4</v>
      </c>
    </row>
    <row r="344" spans="5:6" x14ac:dyDescent="0.25">
      <c r="E344" t="s">
        <v>2264</v>
      </c>
      <c r="F344" s="8">
        <v>9.9148639985305949E-4</v>
      </c>
    </row>
    <row r="345" spans="5:6" x14ac:dyDescent="0.25">
      <c r="E345" t="s">
        <v>2337</v>
      </c>
      <c r="F345" s="8">
        <v>9.9148639985305949E-4</v>
      </c>
    </row>
    <row r="346" spans="5:6" x14ac:dyDescent="0.25">
      <c r="E346" t="s">
        <v>3769</v>
      </c>
      <c r="F346" s="8">
        <v>9.8705517571963776E-4</v>
      </c>
    </row>
    <row r="347" spans="5:6" x14ac:dyDescent="0.25">
      <c r="E347" t="s">
        <v>1581</v>
      </c>
      <c r="F347" s="8">
        <v>9.8705517571963776E-4</v>
      </c>
    </row>
    <row r="348" spans="5:6" x14ac:dyDescent="0.25">
      <c r="E348" t="s">
        <v>1009</v>
      </c>
      <c r="F348" s="8">
        <v>9.8705517571963776E-4</v>
      </c>
    </row>
    <row r="349" spans="5:6" x14ac:dyDescent="0.25">
      <c r="E349" t="s">
        <v>2150</v>
      </c>
      <c r="F349" s="8">
        <v>9.8705517571963776E-4</v>
      </c>
    </row>
    <row r="350" spans="5:6" x14ac:dyDescent="0.25">
      <c r="E350" t="s">
        <v>4789</v>
      </c>
      <c r="F350" s="8">
        <v>9.8705517571963776E-4</v>
      </c>
    </row>
    <row r="351" spans="5:6" x14ac:dyDescent="0.25">
      <c r="E351" t="s">
        <v>3775</v>
      </c>
      <c r="F351" s="8">
        <v>9.8705517571963776E-4</v>
      </c>
    </row>
    <row r="352" spans="5:6" x14ac:dyDescent="0.25">
      <c r="E352" t="s">
        <v>2556</v>
      </c>
      <c r="F352" s="8">
        <v>9.6910871797928084E-4</v>
      </c>
    </row>
    <row r="353" spans="5:6" x14ac:dyDescent="0.25">
      <c r="E353" t="s">
        <v>3432</v>
      </c>
      <c r="F353" s="8">
        <v>9.678901313425898E-4</v>
      </c>
    </row>
    <row r="354" spans="5:6" x14ac:dyDescent="0.25">
      <c r="E354" t="s">
        <v>4799</v>
      </c>
      <c r="F354" s="8">
        <v>9.6711466711924129E-4</v>
      </c>
    </row>
    <row r="355" spans="5:6" x14ac:dyDescent="0.25">
      <c r="E355" t="s">
        <v>2662</v>
      </c>
      <c r="F355" s="8">
        <v>9.6711466711924129E-4</v>
      </c>
    </row>
    <row r="356" spans="5:6" x14ac:dyDescent="0.25">
      <c r="E356" t="s">
        <v>4288</v>
      </c>
      <c r="F356" s="8">
        <v>9.6711466711924129E-4</v>
      </c>
    </row>
    <row r="357" spans="5:6" x14ac:dyDescent="0.25">
      <c r="E357" t="s">
        <v>2448</v>
      </c>
      <c r="F357" s="8">
        <v>9.6711466711924129E-4</v>
      </c>
    </row>
    <row r="358" spans="5:6" x14ac:dyDescent="0.25">
      <c r="E358" t="s">
        <v>717</v>
      </c>
      <c r="F358" s="8">
        <v>9.6711466711924129E-4</v>
      </c>
    </row>
    <row r="359" spans="5:6" x14ac:dyDescent="0.25">
      <c r="E359" t="s">
        <v>1546</v>
      </c>
      <c r="F359" s="8">
        <v>9.6711466711924129E-4</v>
      </c>
    </row>
    <row r="360" spans="5:6" x14ac:dyDescent="0.25">
      <c r="E360" t="s">
        <v>4070</v>
      </c>
      <c r="F360" s="8">
        <v>9.6711466711924129E-4</v>
      </c>
    </row>
    <row r="361" spans="5:6" x14ac:dyDescent="0.25">
      <c r="E361" t="s">
        <v>4917</v>
      </c>
      <c r="F361" s="8">
        <v>9.6711466711924129E-4</v>
      </c>
    </row>
    <row r="362" spans="5:6" x14ac:dyDescent="0.25">
      <c r="E362" t="s">
        <v>1557</v>
      </c>
      <c r="F362" s="8">
        <v>9.6711466711924129E-4</v>
      </c>
    </row>
    <row r="363" spans="5:6" x14ac:dyDescent="0.25">
      <c r="E363" t="s">
        <v>4315</v>
      </c>
      <c r="F363" s="8">
        <v>9.6711466711924129E-4</v>
      </c>
    </row>
    <row r="364" spans="5:6" x14ac:dyDescent="0.25">
      <c r="E364" t="s">
        <v>2629</v>
      </c>
      <c r="F364" s="8">
        <v>9.5315631109896336E-4</v>
      </c>
    </row>
    <row r="365" spans="5:6" x14ac:dyDescent="0.25">
      <c r="E365" t="s">
        <v>4900</v>
      </c>
      <c r="F365" s="8">
        <v>9.1393997751818327E-4</v>
      </c>
    </row>
    <row r="366" spans="5:6" x14ac:dyDescent="0.25">
      <c r="E366" t="s">
        <v>5236</v>
      </c>
      <c r="F366" s="8">
        <v>9.1393997751818327E-4</v>
      </c>
    </row>
    <row r="367" spans="5:6" x14ac:dyDescent="0.25">
      <c r="E367" t="s">
        <v>1432</v>
      </c>
      <c r="F367" s="8">
        <v>9.1393997751818327E-4</v>
      </c>
    </row>
    <row r="368" spans="5:6" x14ac:dyDescent="0.25">
      <c r="E368" t="s">
        <v>3138</v>
      </c>
      <c r="F368" s="8">
        <v>9.1393997751818327E-4</v>
      </c>
    </row>
    <row r="369" spans="5:6" x14ac:dyDescent="0.25">
      <c r="E369" t="s">
        <v>3471</v>
      </c>
      <c r="F369" s="8">
        <v>9.1393997751818327E-4</v>
      </c>
    </row>
    <row r="370" spans="5:6" x14ac:dyDescent="0.25">
      <c r="E370" t="s">
        <v>5160</v>
      </c>
      <c r="F370" s="8">
        <v>9.1393997751818327E-4</v>
      </c>
    </row>
    <row r="371" spans="5:6" x14ac:dyDescent="0.25">
      <c r="E371" t="s">
        <v>1971</v>
      </c>
      <c r="F371" s="8">
        <v>9.1393997751818327E-4</v>
      </c>
    </row>
    <row r="372" spans="5:6" x14ac:dyDescent="0.25">
      <c r="E372" t="s">
        <v>5398</v>
      </c>
      <c r="F372" s="8">
        <v>9.1393997751818327E-4</v>
      </c>
    </row>
    <row r="373" spans="5:6" x14ac:dyDescent="0.25">
      <c r="E373" t="s">
        <v>2076</v>
      </c>
      <c r="F373" s="8">
        <v>9.1393997751818327E-4</v>
      </c>
    </row>
    <row r="374" spans="5:6" x14ac:dyDescent="0.25">
      <c r="E374" t="s">
        <v>567</v>
      </c>
      <c r="F374" s="8">
        <v>9.1216748786481449E-4</v>
      </c>
    </row>
    <row r="375" spans="5:6" x14ac:dyDescent="0.25">
      <c r="E375" t="s">
        <v>3037</v>
      </c>
      <c r="F375" s="8">
        <v>9.1216748786481449E-4</v>
      </c>
    </row>
    <row r="376" spans="5:6" x14ac:dyDescent="0.25">
      <c r="E376" t="s">
        <v>4130</v>
      </c>
      <c r="F376" s="8">
        <v>9.1216748786481449E-4</v>
      </c>
    </row>
    <row r="377" spans="5:6" x14ac:dyDescent="0.25">
      <c r="E377" t="s">
        <v>3066</v>
      </c>
      <c r="F377" s="8">
        <v>9.1216748786481449E-4</v>
      </c>
    </row>
    <row r="378" spans="5:6" x14ac:dyDescent="0.25">
      <c r="E378" t="s">
        <v>5020</v>
      </c>
      <c r="F378" s="8">
        <v>9.1216748786481449E-4</v>
      </c>
    </row>
    <row r="379" spans="5:6" x14ac:dyDescent="0.25">
      <c r="E379" t="s">
        <v>1438</v>
      </c>
      <c r="F379" s="8">
        <v>8.973228870178526E-4</v>
      </c>
    </row>
    <row r="380" spans="5:6" x14ac:dyDescent="0.25">
      <c r="E380" t="s">
        <v>1079</v>
      </c>
      <c r="F380" s="8">
        <v>8.973228870178526E-4</v>
      </c>
    </row>
    <row r="381" spans="5:6" x14ac:dyDescent="0.25">
      <c r="E381" t="s">
        <v>1655</v>
      </c>
      <c r="F381" s="8">
        <v>8.973228870178526E-4</v>
      </c>
    </row>
    <row r="382" spans="5:6" x14ac:dyDescent="0.25">
      <c r="E382" t="s">
        <v>932</v>
      </c>
      <c r="F382" s="8">
        <v>8.973228870178526E-4</v>
      </c>
    </row>
    <row r="383" spans="5:6" x14ac:dyDescent="0.25">
      <c r="E383" t="s">
        <v>5611</v>
      </c>
      <c r="F383" s="8">
        <v>8.973228870178526E-4</v>
      </c>
    </row>
    <row r="384" spans="5:6" x14ac:dyDescent="0.25">
      <c r="E384" t="s">
        <v>657</v>
      </c>
      <c r="F384" s="8">
        <v>8.8181360255087731E-4</v>
      </c>
    </row>
    <row r="385" spans="5:6" x14ac:dyDescent="0.25">
      <c r="E385" t="s">
        <v>2771</v>
      </c>
      <c r="F385" s="8">
        <v>8.8181360255087731E-4</v>
      </c>
    </row>
    <row r="386" spans="5:6" x14ac:dyDescent="0.25">
      <c r="E386" t="s">
        <v>549</v>
      </c>
      <c r="F386" s="8">
        <v>8.8181360255087731E-4</v>
      </c>
    </row>
    <row r="387" spans="5:6" x14ac:dyDescent="0.25">
      <c r="E387" t="s">
        <v>3302</v>
      </c>
      <c r="F387" s="8">
        <v>8.8181360255087731E-4</v>
      </c>
    </row>
    <row r="388" spans="5:6" x14ac:dyDescent="0.25">
      <c r="E388" t="s">
        <v>3935</v>
      </c>
      <c r="F388" s="8">
        <v>8.8181360255087731E-4</v>
      </c>
    </row>
    <row r="389" spans="5:6" x14ac:dyDescent="0.25">
      <c r="E389" t="s">
        <v>5622</v>
      </c>
      <c r="F389" s="8">
        <v>8.6076528791712513E-4</v>
      </c>
    </row>
    <row r="390" spans="5:6" x14ac:dyDescent="0.25">
      <c r="E390" t="s">
        <v>2723</v>
      </c>
      <c r="F390" s="8">
        <v>8.6076528791712513E-4</v>
      </c>
    </row>
    <row r="391" spans="5:6" x14ac:dyDescent="0.25">
      <c r="E391" t="s">
        <v>3650</v>
      </c>
      <c r="F391" s="8">
        <v>8.6076528791712513E-4</v>
      </c>
    </row>
    <row r="392" spans="5:6" x14ac:dyDescent="0.25">
      <c r="E392" t="s">
        <v>1880</v>
      </c>
      <c r="F392" s="8">
        <v>8.6076528791712513E-4</v>
      </c>
    </row>
    <row r="393" spans="5:6" x14ac:dyDescent="0.25">
      <c r="E393" t="s">
        <v>1592</v>
      </c>
      <c r="F393" s="8">
        <v>8.6076528791712513E-4</v>
      </c>
    </row>
    <row r="394" spans="5:6" x14ac:dyDescent="0.25">
      <c r="E394" t="s">
        <v>768</v>
      </c>
      <c r="F394" s="8">
        <v>8.6076528791712513E-4</v>
      </c>
    </row>
    <row r="395" spans="5:6" x14ac:dyDescent="0.25">
      <c r="E395" t="s">
        <v>521</v>
      </c>
      <c r="F395" s="8">
        <v>8.6076528791712513E-4</v>
      </c>
    </row>
    <row r="396" spans="5:6" x14ac:dyDescent="0.25">
      <c r="E396" t="s">
        <v>977</v>
      </c>
      <c r="F396" s="8">
        <v>8.6076528791712513E-4</v>
      </c>
    </row>
    <row r="397" spans="5:6" x14ac:dyDescent="0.25">
      <c r="E397" t="s">
        <v>1061</v>
      </c>
      <c r="F397" s="8">
        <v>8.6076528791712513E-4</v>
      </c>
    </row>
    <row r="398" spans="5:6" x14ac:dyDescent="0.25">
      <c r="E398" t="s">
        <v>944</v>
      </c>
      <c r="F398" s="8">
        <v>8.6076528791712513E-4</v>
      </c>
    </row>
    <row r="399" spans="5:6" x14ac:dyDescent="0.25">
      <c r="E399" t="s">
        <v>4547</v>
      </c>
      <c r="F399" s="8">
        <v>8.6076528791712513E-4</v>
      </c>
    </row>
    <row r="400" spans="5:6" x14ac:dyDescent="0.25">
      <c r="E400" t="s">
        <v>2183</v>
      </c>
      <c r="F400" s="8">
        <v>8.6076528791712513E-4</v>
      </c>
    </row>
    <row r="401" spans="5:6" x14ac:dyDescent="0.25">
      <c r="E401" t="s">
        <v>3049</v>
      </c>
      <c r="F401" s="8">
        <v>8.4281883017676821E-4</v>
      </c>
    </row>
    <row r="402" spans="5:6" x14ac:dyDescent="0.25">
      <c r="E402" t="s">
        <v>2599</v>
      </c>
      <c r="F402" s="8">
        <v>8.4281883017676821E-4</v>
      </c>
    </row>
    <row r="403" spans="5:6" x14ac:dyDescent="0.25">
      <c r="E403" t="s">
        <v>5104</v>
      </c>
      <c r="F403" s="8">
        <v>8.4281883017676821E-4</v>
      </c>
    </row>
    <row r="404" spans="5:6" x14ac:dyDescent="0.25">
      <c r="E404" t="s">
        <v>2343</v>
      </c>
      <c r="F404" s="8">
        <v>8.4281883017676821E-4</v>
      </c>
    </row>
    <row r="405" spans="5:6" x14ac:dyDescent="0.25">
      <c r="E405" t="s">
        <v>1148</v>
      </c>
      <c r="F405" s="8">
        <v>8.4281883017676821E-4</v>
      </c>
    </row>
    <row r="406" spans="5:6" x14ac:dyDescent="0.25">
      <c r="E406" t="s">
        <v>2281</v>
      </c>
      <c r="F406" s="8">
        <v>8.4148946293674184E-4</v>
      </c>
    </row>
    <row r="407" spans="5:6" x14ac:dyDescent="0.25">
      <c r="E407" t="s">
        <v>1814</v>
      </c>
      <c r="F407" s="8">
        <v>8.0770137891940288E-4</v>
      </c>
    </row>
    <row r="408" spans="5:6" x14ac:dyDescent="0.25">
      <c r="E408" t="s">
        <v>2820</v>
      </c>
      <c r="F408" s="8">
        <v>8.0770137891940288E-4</v>
      </c>
    </row>
    <row r="409" spans="5:6" x14ac:dyDescent="0.25">
      <c r="E409" t="s">
        <v>2104</v>
      </c>
      <c r="F409" s="8">
        <v>8.0770137891940288E-4</v>
      </c>
    </row>
    <row r="410" spans="5:6" x14ac:dyDescent="0.25">
      <c r="E410" t="s">
        <v>4616</v>
      </c>
      <c r="F410" s="8">
        <v>8.0770137891940288E-4</v>
      </c>
    </row>
    <row r="411" spans="5:6" x14ac:dyDescent="0.25">
      <c r="E411" t="s">
        <v>4559</v>
      </c>
      <c r="F411" s="8">
        <v>8.0759059831606744E-4</v>
      </c>
    </row>
    <row r="412" spans="5:6" x14ac:dyDescent="0.25">
      <c r="E412" t="s">
        <v>1856</v>
      </c>
      <c r="F412" s="8">
        <v>8.0759059831606744E-4</v>
      </c>
    </row>
    <row r="413" spans="5:6" x14ac:dyDescent="0.25">
      <c r="E413" t="s">
        <v>4413</v>
      </c>
      <c r="F413" s="8">
        <v>8.0759059831606744E-4</v>
      </c>
    </row>
    <row r="414" spans="5:6" x14ac:dyDescent="0.25">
      <c r="E414" t="s">
        <v>5010</v>
      </c>
      <c r="F414" s="8">
        <v>8.0759059831606744E-4</v>
      </c>
    </row>
    <row r="415" spans="5:6" x14ac:dyDescent="0.25">
      <c r="E415" t="s">
        <v>2976</v>
      </c>
      <c r="F415" s="8">
        <v>8.0759059831606744E-4</v>
      </c>
    </row>
    <row r="416" spans="5:6" x14ac:dyDescent="0.25">
      <c r="E416" t="s">
        <v>1534</v>
      </c>
      <c r="F416" s="8">
        <v>8.0759059831606744E-4</v>
      </c>
    </row>
    <row r="417" spans="5:6" x14ac:dyDescent="0.25">
      <c r="E417" t="s">
        <v>1586</v>
      </c>
      <c r="F417" s="8">
        <v>8.0759059831606744E-4</v>
      </c>
    </row>
    <row r="418" spans="5:6" x14ac:dyDescent="0.25">
      <c r="E418" t="s">
        <v>5317</v>
      </c>
      <c r="F418" s="8">
        <v>7.942969259158028E-4</v>
      </c>
    </row>
    <row r="419" spans="5:6" x14ac:dyDescent="0.25">
      <c r="E419" t="s">
        <v>5818</v>
      </c>
      <c r="F419" s="8">
        <v>7.942969259158028E-4</v>
      </c>
    </row>
    <row r="420" spans="5:6" x14ac:dyDescent="0.25">
      <c r="E420" t="s">
        <v>4111</v>
      </c>
      <c r="F420" s="8">
        <v>7.942969259158028E-4</v>
      </c>
    </row>
    <row r="421" spans="5:6" x14ac:dyDescent="0.25">
      <c r="E421" t="s">
        <v>4019</v>
      </c>
      <c r="F421" s="8">
        <v>7.942969259158028E-4</v>
      </c>
    </row>
    <row r="422" spans="5:6" x14ac:dyDescent="0.25">
      <c r="E422" t="s">
        <v>2982</v>
      </c>
      <c r="F422" s="8">
        <v>7.942969259158028E-4</v>
      </c>
    </row>
    <row r="423" spans="5:6" x14ac:dyDescent="0.25">
      <c r="E423" t="s">
        <v>5830</v>
      </c>
      <c r="F423" s="8">
        <v>7.942969259158028E-4</v>
      </c>
    </row>
    <row r="424" spans="5:6" x14ac:dyDescent="0.25">
      <c r="E424" t="s">
        <v>987</v>
      </c>
      <c r="F424" s="8">
        <v>7.942969259158028E-4</v>
      </c>
    </row>
    <row r="425" spans="5:6" x14ac:dyDescent="0.25">
      <c r="E425" t="s">
        <v>5572</v>
      </c>
      <c r="F425" s="8">
        <v>7.942969259158028E-4</v>
      </c>
    </row>
    <row r="426" spans="5:6" x14ac:dyDescent="0.25">
      <c r="E426" t="s">
        <v>3279</v>
      </c>
      <c r="F426" s="8">
        <v>7.9363224229578961E-4</v>
      </c>
    </row>
    <row r="427" spans="5:6" x14ac:dyDescent="0.25">
      <c r="E427" t="s">
        <v>5098</v>
      </c>
      <c r="F427" s="8">
        <v>7.9363224229578961E-4</v>
      </c>
    </row>
    <row r="428" spans="5:6" x14ac:dyDescent="0.25">
      <c r="E428" t="s">
        <v>689</v>
      </c>
      <c r="F428" s="8">
        <v>7.9363224229578961E-4</v>
      </c>
    </row>
    <row r="429" spans="5:6" x14ac:dyDescent="0.25">
      <c r="E429" t="s">
        <v>851</v>
      </c>
      <c r="F429" s="8">
        <v>7.9363224229578961E-4</v>
      </c>
    </row>
    <row r="430" spans="5:6" x14ac:dyDescent="0.25">
      <c r="E430" t="s">
        <v>5264</v>
      </c>
      <c r="F430" s="8">
        <v>7.9363224229578961E-4</v>
      </c>
    </row>
    <row r="431" spans="5:6" x14ac:dyDescent="0.25">
      <c r="E431" t="s">
        <v>2159</v>
      </c>
      <c r="F431" s="8">
        <v>7.9363224229578961E-4</v>
      </c>
    </row>
    <row r="432" spans="5:6" x14ac:dyDescent="0.25">
      <c r="E432" t="s">
        <v>4766</v>
      </c>
      <c r="F432" s="8">
        <v>7.9318911988244742E-4</v>
      </c>
    </row>
    <row r="433" spans="5:6" x14ac:dyDescent="0.25">
      <c r="E433" t="s">
        <v>1715</v>
      </c>
      <c r="F433" s="8">
        <v>7.896441405757103E-4</v>
      </c>
    </row>
    <row r="434" spans="5:6" x14ac:dyDescent="0.25">
      <c r="E434" t="s">
        <v>4058</v>
      </c>
      <c r="F434" s="8">
        <v>7.896441405757103E-4</v>
      </c>
    </row>
    <row r="435" spans="5:6" x14ac:dyDescent="0.25">
      <c r="E435" t="s">
        <v>1014</v>
      </c>
      <c r="F435" s="8">
        <v>7.896441405757103E-4</v>
      </c>
    </row>
    <row r="436" spans="5:6" x14ac:dyDescent="0.25">
      <c r="E436" t="s">
        <v>4076</v>
      </c>
      <c r="F436" s="8">
        <v>7.896441405757103E-4</v>
      </c>
    </row>
    <row r="437" spans="5:6" x14ac:dyDescent="0.25">
      <c r="E437" t="s">
        <v>2964</v>
      </c>
      <c r="F437" s="8">
        <v>7.896441405757103E-4</v>
      </c>
    </row>
    <row r="438" spans="5:6" x14ac:dyDescent="0.25">
      <c r="E438" t="s">
        <v>3720</v>
      </c>
      <c r="F438" s="8">
        <v>7.896441405757103E-4</v>
      </c>
    </row>
    <row r="439" spans="5:6" x14ac:dyDescent="0.25">
      <c r="E439" t="s">
        <v>5341</v>
      </c>
      <c r="F439" s="8">
        <v>7.7369173369539292E-4</v>
      </c>
    </row>
    <row r="440" spans="5:6" x14ac:dyDescent="0.25">
      <c r="E440" t="s">
        <v>4713</v>
      </c>
      <c r="F440" s="8">
        <v>7.7369173369539292E-4</v>
      </c>
    </row>
    <row r="441" spans="5:6" x14ac:dyDescent="0.25">
      <c r="E441" t="s">
        <v>1483</v>
      </c>
      <c r="F441" s="8">
        <v>7.5674230138505561E-4</v>
      </c>
    </row>
    <row r="442" spans="5:6" x14ac:dyDescent="0.25">
      <c r="E442" t="s">
        <v>2269</v>
      </c>
      <c r="F442" s="8">
        <v>7.5674230138505561E-4</v>
      </c>
    </row>
    <row r="443" spans="5:6" x14ac:dyDescent="0.25">
      <c r="E443" t="s">
        <v>1341</v>
      </c>
      <c r="F443" s="8">
        <v>7.4776907251487715E-4</v>
      </c>
    </row>
    <row r="444" spans="5:6" x14ac:dyDescent="0.25">
      <c r="E444" t="s">
        <v>3856</v>
      </c>
      <c r="F444" s="8">
        <v>7.4776907251487715E-4</v>
      </c>
    </row>
    <row r="445" spans="5:6" x14ac:dyDescent="0.25">
      <c r="E445" t="s">
        <v>4707</v>
      </c>
      <c r="F445" s="8">
        <v>7.4776907251487715E-4</v>
      </c>
    </row>
    <row r="446" spans="5:6" x14ac:dyDescent="0.25">
      <c r="E446" t="s">
        <v>5727</v>
      </c>
      <c r="F446" s="8">
        <v>7.4776907251487715E-4</v>
      </c>
    </row>
    <row r="447" spans="5:6" x14ac:dyDescent="0.25">
      <c r="E447" t="s">
        <v>982</v>
      </c>
      <c r="F447" s="8">
        <v>7.4776907251487715E-4</v>
      </c>
    </row>
    <row r="448" spans="5:6" x14ac:dyDescent="0.25">
      <c r="E448" t="s">
        <v>4385</v>
      </c>
      <c r="F448" s="8">
        <v>7.4776907251487715E-4</v>
      </c>
    </row>
    <row r="449" spans="5:6" x14ac:dyDescent="0.25">
      <c r="E449" t="s">
        <v>2223</v>
      </c>
      <c r="F449" s="8">
        <v>7.4776907251487715E-4</v>
      </c>
    </row>
    <row r="450" spans="5:6" x14ac:dyDescent="0.25">
      <c r="E450" t="s">
        <v>2229</v>
      </c>
      <c r="F450" s="8">
        <v>7.4776907251487715E-4</v>
      </c>
    </row>
    <row r="451" spans="5:6" x14ac:dyDescent="0.25">
      <c r="E451" t="s">
        <v>5184</v>
      </c>
      <c r="F451" s="8">
        <v>7.4156535872808708E-4</v>
      </c>
    </row>
    <row r="452" spans="5:6" x14ac:dyDescent="0.25">
      <c r="E452" t="s">
        <v>2070</v>
      </c>
      <c r="F452" s="8">
        <v>7.4145457812475153E-4</v>
      </c>
    </row>
    <row r="453" spans="5:6" x14ac:dyDescent="0.25">
      <c r="E453" t="s">
        <v>3974</v>
      </c>
      <c r="F453" s="8">
        <v>7.4145457812475153E-4</v>
      </c>
    </row>
    <row r="454" spans="5:6" x14ac:dyDescent="0.25">
      <c r="E454" t="s">
        <v>1563</v>
      </c>
      <c r="F454" s="8">
        <v>7.4145457812475153E-4</v>
      </c>
    </row>
    <row r="455" spans="5:6" x14ac:dyDescent="0.25">
      <c r="E455" t="s">
        <v>6066</v>
      </c>
      <c r="F455" s="8">
        <v>7.4145457812475153E-4</v>
      </c>
    </row>
    <row r="456" spans="5:6" x14ac:dyDescent="0.25">
      <c r="E456" t="s">
        <v>1936</v>
      </c>
      <c r="F456" s="8">
        <v>7.3802037942134995E-4</v>
      </c>
    </row>
    <row r="457" spans="5:6" x14ac:dyDescent="0.25">
      <c r="E457" t="s">
        <v>1391</v>
      </c>
      <c r="F457" s="8">
        <v>7.3115198201454659E-4</v>
      </c>
    </row>
    <row r="458" spans="5:6" x14ac:dyDescent="0.25">
      <c r="E458" t="s">
        <v>2426</v>
      </c>
      <c r="F458" s="8">
        <v>7.1387020789420274E-4</v>
      </c>
    </row>
    <row r="459" spans="5:6" x14ac:dyDescent="0.25">
      <c r="E459" t="s">
        <v>1516</v>
      </c>
      <c r="F459" s="8">
        <v>7.1387020789420274E-4</v>
      </c>
    </row>
    <row r="460" spans="5:6" x14ac:dyDescent="0.25">
      <c r="E460" t="s">
        <v>5560</v>
      </c>
      <c r="F460" s="8">
        <v>7.1387020789420274E-4</v>
      </c>
    </row>
    <row r="461" spans="5:6" x14ac:dyDescent="0.25">
      <c r="E461" t="s">
        <v>1696</v>
      </c>
      <c r="F461" s="8">
        <v>7.0234902514730688E-4</v>
      </c>
    </row>
    <row r="462" spans="5:6" x14ac:dyDescent="0.25">
      <c r="E462" t="s">
        <v>4923</v>
      </c>
      <c r="F462" s="8">
        <v>7.0234902514730688E-4</v>
      </c>
    </row>
    <row r="463" spans="5:6" x14ac:dyDescent="0.25">
      <c r="E463" t="s">
        <v>3285</v>
      </c>
      <c r="F463" s="8">
        <v>7.0234902514730688E-4</v>
      </c>
    </row>
    <row r="464" spans="5:6" x14ac:dyDescent="0.25">
      <c r="E464" t="s">
        <v>6055</v>
      </c>
      <c r="F464" s="8">
        <v>7.0068731609727376E-4</v>
      </c>
    </row>
    <row r="465" spans="5:6" x14ac:dyDescent="0.25">
      <c r="E465" t="s">
        <v>3172</v>
      </c>
      <c r="F465" s="8">
        <v>7.0068731609727376E-4</v>
      </c>
    </row>
    <row r="466" spans="5:6" x14ac:dyDescent="0.25">
      <c r="E466" t="s">
        <v>5086</v>
      </c>
      <c r="F466" s="8">
        <v>7.0068731609727376E-4</v>
      </c>
    </row>
    <row r="467" spans="5:6" x14ac:dyDescent="0.25">
      <c r="E467" t="s">
        <v>4088</v>
      </c>
      <c r="F467" s="8">
        <v>7.0068731609727376E-4</v>
      </c>
    </row>
    <row r="468" spans="5:6" x14ac:dyDescent="0.25">
      <c r="E468" t="s">
        <v>600</v>
      </c>
      <c r="F468" s="8">
        <v>6.9692077558386554E-4</v>
      </c>
    </row>
    <row r="469" spans="5:6" x14ac:dyDescent="0.25">
      <c r="E469" t="s">
        <v>4998</v>
      </c>
      <c r="F469" s="8">
        <v>6.8861223033370015E-4</v>
      </c>
    </row>
    <row r="470" spans="5:6" x14ac:dyDescent="0.25">
      <c r="E470" t="s">
        <v>2729</v>
      </c>
      <c r="F470" s="8">
        <v>6.8861223033370015E-4</v>
      </c>
    </row>
    <row r="471" spans="5:6" x14ac:dyDescent="0.25">
      <c r="E471" t="s">
        <v>4425</v>
      </c>
      <c r="F471" s="8">
        <v>6.8861223033370015E-4</v>
      </c>
    </row>
    <row r="472" spans="5:6" x14ac:dyDescent="0.25">
      <c r="E472" t="s">
        <v>1528</v>
      </c>
      <c r="F472" s="8">
        <v>6.8861223033370015E-4</v>
      </c>
    </row>
    <row r="473" spans="5:6" x14ac:dyDescent="0.25">
      <c r="E473" t="s">
        <v>5290</v>
      </c>
      <c r="F473" s="8">
        <v>6.6601298725325062E-4</v>
      </c>
    </row>
    <row r="474" spans="5:6" x14ac:dyDescent="0.25">
      <c r="E474" t="s">
        <v>4452</v>
      </c>
      <c r="F474" s="8">
        <v>6.6136020191315801E-4</v>
      </c>
    </row>
    <row r="475" spans="5:6" x14ac:dyDescent="0.25">
      <c r="E475" t="s">
        <v>2868</v>
      </c>
      <c r="F475" s="8">
        <v>6.6136020191315801E-4</v>
      </c>
    </row>
    <row r="476" spans="5:6" x14ac:dyDescent="0.25">
      <c r="E476" t="s">
        <v>3443</v>
      </c>
      <c r="F476" s="8">
        <v>6.6136020191315801E-4</v>
      </c>
    </row>
    <row r="477" spans="5:6" x14ac:dyDescent="0.25">
      <c r="E477" t="s">
        <v>4749</v>
      </c>
      <c r="F477" s="8">
        <v>6.6136020191315801E-4</v>
      </c>
    </row>
    <row r="478" spans="5:6" x14ac:dyDescent="0.25">
      <c r="E478" t="s">
        <v>4598</v>
      </c>
      <c r="F478" s="8">
        <v>6.6136020191315801E-4</v>
      </c>
    </row>
    <row r="479" spans="5:6" x14ac:dyDescent="0.25">
      <c r="E479" t="s">
        <v>5946</v>
      </c>
      <c r="F479" s="8">
        <v>6.6136020191315801E-4</v>
      </c>
    </row>
    <row r="480" spans="5:6" x14ac:dyDescent="0.25">
      <c r="E480" t="s">
        <v>6072</v>
      </c>
      <c r="F480" s="8">
        <v>6.6136020191315801E-4</v>
      </c>
    </row>
    <row r="481" spans="5:6" x14ac:dyDescent="0.25">
      <c r="E481" t="s">
        <v>6078</v>
      </c>
      <c r="F481" s="8">
        <v>6.6136020191315801E-4</v>
      </c>
    </row>
    <row r="482" spans="5:6" x14ac:dyDescent="0.25">
      <c r="E482" t="s">
        <v>2258</v>
      </c>
      <c r="F482" s="8">
        <v>6.6136020191315801E-4</v>
      </c>
    </row>
    <row r="483" spans="5:6" x14ac:dyDescent="0.25">
      <c r="E483" t="s">
        <v>1914</v>
      </c>
      <c r="F483" s="8">
        <v>6.6136020191315801E-4</v>
      </c>
    </row>
    <row r="484" spans="5:6" x14ac:dyDescent="0.25">
      <c r="E484" t="s">
        <v>2144</v>
      </c>
      <c r="F484" s="8">
        <v>6.6136020191315801E-4</v>
      </c>
    </row>
    <row r="485" spans="5:6" x14ac:dyDescent="0.25">
      <c r="E485" t="s">
        <v>2953</v>
      </c>
      <c r="F485" s="8">
        <v>6.5992005406979599E-4</v>
      </c>
    </row>
    <row r="486" spans="5:6" x14ac:dyDescent="0.25">
      <c r="E486" t="s">
        <v>1278</v>
      </c>
      <c r="F486" s="8">
        <v>6.5992005406979599E-4</v>
      </c>
    </row>
    <row r="487" spans="5:6" x14ac:dyDescent="0.25">
      <c r="E487" t="s">
        <v>2326</v>
      </c>
      <c r="F487" s="8">
        <v>6.5992005406979599E-4</v>
      </c>
    </row>
    <row r="488" spans="5:6" x14ac:dyDescent="0.25">
      <c r="E488" t="s">
        <v>2511</v>
      </c>
      <c r="F488" s="8">
        <v>6.5992005406979599E-4</v>
      </c>
    </row>
    <row r="489" spans="5:6" x14ac:dyDescent="0.25">
      <c r="E489" t="s">
        <v>2841</v>
      </c>
      <c r="F489" s="8">
        <v>6.5992005406979599E-4</v>
      </c>
    </row>
    <row r="490" spans="5:6" x14ac:dyDescent="0.25">
      <c r="E490" t="s">
        <v>3449</v>
      </c>
      <c r="F490" s="8">
        <v>6.5992005406979599E-4</v>
      </c>
    </row>
    <row r="491" spans="5:6" x14ac:dyDescent="0.25">
      <c r="E491" t="s">
        <v>4783</v>
      </c>
      <c r="F491" s="8">
        <v>6.5992005406979599E-4</v>
      </c>
    </row>
    <row r="492" spans="5:6" x14ac:dyDescent="0.25">
      <c r="E492" t="s">
        <v>5393</v>
      </c>
      <c r="F492" s="8">
        <v>6.5992005406979599E-4</v>
      </c>
    </row>
    <row r="493" spans="5:6" x14ac:dyDescent="0.25">
      <c r="E493" t="s">
        <v>5415</v>
      </c>
      <c r="F493" s="8">
        <v>6.5803678381309188E-4</v>
      </c>
    </row>
    <row r="494" spans="5:6" x14ac:dyDescent="0.25">
      <c r="E494" t="s">
        <v>1862</v>
      </c>
      <c r="F494" s="8">
        <v>6.4607247865285393E-4</v>
      </c>
    </row>
    <row r="495" spans="5:6" x14ac:dyDescent="0.25">
      <c r="E495" t="s">
        <v>1661</v>
      </c>
      <c r="F495" s="8">
        <v>6.4607247865285393E-4</v>
      </c>
    </row>
    <row r="496" spans="5:6" x14ac:dyDescent="0.25">
      <c r="E496" t="s">
        <v>1415</v>
      </c>
      <c r="F496" s="8">
        <v>6.4607247865285393E-4</v>
      </c>
    </row>
    <row r="497" spans="5:6" x14ac:dyDescent="0.25">
      <c r="E497" t="s">
        <v>5370</v>
      </c>
      <c r="F497" s="8">
        <v>6.4474311141282745E-4</v>
      </c>
    </row>
    <row r="498" spans="5:6" x14ac:dyDescent="0.25">
      <c r="E498" t="s">
        <v>4987</v>
      </c>
      <c r="F498" s="8">
        <v>6.3543754073264224E-4</v>
      </c>
    </row>
    <row r="499" spans="5:6" x14ac:dyDescent="0.25">
      <c r="E499" t="s">
        <v>1925</v>
      </c>
      <c r="F499" s="8">
        <v>6.3543754073264224E-4</v>
      </c>
    </row>
    <row r="500" spans="5:6" x14ac:dyDescent="0.25">
      <c r="E500" t="s">
        <v>4672</v>
      </c>
      <c r="F500" s="8">
        <v>6.3543754073264224E-4</v>
      </c>
    </row>
    <row r="501" spans="5:6" x14ac:dyDescent="0.25">
      <c r="E501" t="s">
        <v>5242</v>
      </c>
      <c r="F501" s="8">
        <v>6.3543754073264224E-4</v>
      </c>
    </row>
    <row r="502" spans="5:6" x14ac:dyDescent="0.25">
      <c r="E502" t="s">
        <v>5678</v>
      </c>
      <c r="F502" s="8">
        <v>6.3410817349261587E-4</v>
      </c>
    </row>
    <row r="503" spans="5:6" x14ac:dyDescent="0.25">
      <c r="E503" t="s">
        <v>3595</v>
      </c>
      <c r="F503" s="8">
        <v>6.3311114806259604E-4</v>
      </c>
    </row>
    <row r="504" spans="5:6" x14ac:dyDescent="0.25">
      <c r="E504" t="s">
        <v>701</v>
      </c>
      <c r="F504" s="8">
        <v>6.3211412263257621E-4</v>
      </c>
    </row>
    <row r="505" spans="5:6" x14ac:dyDescent="0.25">
      <c r="E505" t="s">
        <v>5452</v>
      </c>
      <c r="F505" s="8">
        <v>6.3211412263257621E-4</v>
      </c>
    </row>
    <row r="506" spans="5:6" x14ac:dyDescent="0.25">
      <c r="E506" t="s">
        <v>5799</v>
      </c>
      <c r="F506" s="8">
        <v>6.3211412263257621E-4</v>
      </c>
    </row>
    <row r="507" spans="5:6" x14ac:dyDescent="0.25">
      <c r="E507" t="s">
        <v>3667</v>
      </c>
      <c r="F507" s="8">
        <v>6.3211412263257621E-4</v>
      </c>
    </row>
    <row r="508" spans="5:6" x14ac:dyDescent="0.25">
      <c r="E508" t="s">
        <v>4147</v>
      </c>
      <c r="F508" s="8">
        <v>6.3211412263257621E-4</v>
      </c>
    </row>
    <row r="509" spans="5:6" x14ac:dyDescent="0.25">
      <c r="E509" t="s">
        <v>5069</v>
      </c>
      <c r="F509" s="8">
        <v>6.3211412263257621E-4</v>
      </c>
    </row>
    <row r="510" spans="5:6" x14ac:dyDescent="0.25">
      <c r="E510" t="s">
        <v>2381</v>
      </c>
      <c r="F510" s="8">
        <v>6.3211412263257621E-4</v>
      </c>
    </row>
    <row r="511" spans="5:6" x14ac:dyDescent="0.25">
      <c r="E511" t="s">
        <v>5711</v>
      </c>
      <c r="F511" s="8">
        <v>6.1915279204231833E-4</v>
      </c>
    </row>
    <row r="512" spans="5:6" x14ac:dyDescent="0.25">
      <c r="E512" t="s">
        <v>1942</v>
      </c>
      <c r="F512" s="8">
        <v>6.1915279204231833E-4</v>
      </c>
    </row>
    <row r="513" spans="5:6" x14ac:dyDescent="0.25">
      <c r="E513" t="s">
        <v>2293</v>
      </c>
      <c r="F513" s="8">
        <v>6.1317063946219924E-4</v>
      </c>
    </row>
    <row r="514" spans="5:6" x14ac:dyDescent="0.25">
      <c r="E514" t="s">
        <v>2155</v>
      </c>
      <c r="F514" s="8">
        <v>6.0929331834545547E-4</v>
      </c>
    </row>
    <row r="515" spans="5:6" x14ac:dyDescent="0.25">
      <c r="E515" t="s">
        <v>4743</v>
      </c>
      <c r="F515" s="8">
        <v>6.0929331834545547E-4</v>
      </c>
    </row>
    <row r="516" spans="5:6" x14ac:dyDescent="0.25">
      <c r="E516" t="s">
        <v>3108</v>
      </c>
      <c r="F516" s="8">
        <v>6.0929331834545547E-4</v>
      </c>
    </row>
    <row r="517" spans="5:6" x14ac:dyDescent="0.25">
      <c r="E517" t="s">
        <v>1960</v>
      </c>
      <c r="F517" s="8">
        <v>6.0896097653544883E-4</v>
      </c>
    </row>
    <row r="518" spans="5:6" x14ac:dyDescent="0.25">
      <c r="E518" t="s">
        <v>5458</v>
      </c>
      <c r="F518" s="8">
        <v>6.0896097653544883E-4</v>
      </c>
    </row>
    <row r="519" spans="5:6" x14ac:dyDescent="0.25">
      <c r="E519" t="s">
        <v>6113</v>
      </c>
      <c r="F519" s="8">
        <v>6.0896097653544883E-4</v>
      </c>
    </row>
    <row r="520" spans="5:6" x14ac:dyDescent="0.25">
      <c r="E520" t="s">
        <v>4327</v>
      </c>
      <c r="F520" s="8">
        <v>6.0896097653544883E-4</v>
      </c>
    </row>
    <row r="521" spans="5:6" x14ac:dyDescent="0.25">
      <c r="E521" t="s">
        <v>3043</v>
      </c>
      <c r="F521" s="8">
        <v>6.0253570154198777E-4</v>
      </c>
    </row>
    <row r="522" spans="5:6" x14ac:dyDescent="0.25">
      <c r="E522" t="s">
        <v>639</v>
      </c>
      <c r="F522" s="8">
        <v>5.9821525801190181E-4</v>
      </c>
    </row>
    <row r="523" spans="5:6" x14ac:dyDescent="0.25">
      <c r="E523" t="s">
        <v>2484</v>
      </c>
      <c r="F523" s="8">
        <v>5.9821525801190181E-4</v>
      </c>
    </row>
    <row r="524" spans="5:6" x14ac:dyDescent="0.25">
      <c r="E524" t="s">
        <v>1097</v>
      </c>
      <c r="F524" s="8">
        <v>5.9821525801190181E-4</v>
      </c>
    </row>
    <row r="525" spans="5:6" x14ac:dyDescent="0.25">
      <c r="E525" t="s">
        <v>5616</v>
      </c>
      <c r="F525" s="8">
        <v>5.9821525801190181E-4</v>
      </c>
    </row>
    <row r="526" spans="5:6" x14ac:dyDescent="0.25">
      <c r="E526" t="s">
        <v>3714</v>
      </c>
      <c r="F526" s="8">
        <v>5.9821525801190181E-4</v>
      </c>
    </row>
    <row r="527" spans="5:6" x14ac:dyDescent="0.25">
      <c r="E527" t="s">
        <v>2759</v>
      </c>
      <c r="F527" s="8">
        <v>5.9489183991183556E-4</v>
      </c>
    </row>
    <row r="528" spans="5:6" x14ac:dyDescent="0.25">
      <c r="E528" t="s">
        <v>1427</v>
      </c>
      <c r="F528" s="8">
        <v>5.9489183991183546E-4</v>
      </c>
    </row>
    <row r="529" spans="5:6" x14ac:dyDescent="0.25">
      <c r="E529" t="s">
        <v>835</v>
      </c>
      <c r="F529" s="8">
        <v>5.9489183991183546E-4</v>
      </c>
    </row>
    <row r="530" spans="5:6" x14ac:dyDescent="0.25">
      <c r="E530" t="s">
        <v>3539</v>
      </c>
      <c r="F530" s="8">
        <v>5.9489183991183546E-4</v>
      </c>
    </row>
    <row r="531" spans="5:6" x14ac:dyDescent="0.25">
      <c r="E531" t="s">
        <v>5131</v>
      </c>
      <c r="F531" s="8">
        <v>5.9489183991183546E-4</v>
      </c>
    </row>
    <row r="532" spans="5:6" x14ac:dyDescent="0.25">
      <c r="E532" t="s">
        <v>1114</v>
      </c>
      <c r="F532" s="8">
        <v>5.9489183991183546E-4</v>
      </c>
    </row>
    <row r="533" spans="5:6" x14ac:dyDescent="0.25">
      <c r="E533" t="s">
        <v>2878</v>
      </c>
      <c r="F533" s="8">
        <v>5.9223310543178272E-4</v>
      </c>
    </row>
    <row r="534" spans="5:6" x14ac:dyDescent="0.25">
      <c r="E534" t="s">
        <v>3183</v>
      </c>
      <c r="F534" s="8">
        <v>5.9223310543178272E-4</v>
      </c>
    </row>
    <row r="535" spans="5:6" x14ac:dyDescent="0.25">
      <c r="E535" t="s">
        <v>2171</v>
      </c>
      <c r="F535" s="8">
        <v>5.9223310543178272E-4</v>
      </c>
    </row>
    <row r="536" spans="5:6" x14ac:dyDescent="0.25">
      <c r="E536" t="s">
        <v>4911</v>
      </c>
      <c r="F536" s="8">
        <v>5.9223310543178272E-4</v>
      </c>
    </row>
    <row r="537" spans="5:6" x14ac:dyDescent="0.25">
      <c r="E537" t="s">
        <v>3345</v>
      </c>
      <c r="F537" s="8">
        <v>5.8026880027154477E-4</v>
      </c>
    </row>
    <row r="538" spans="5:6" x14ac:dyDescent="0.25">
      <c r="E538" t="s">
        <v>3398</v>
      </c>
      <c r="F538" s="8">
        <v>5.8026880027154477E-4</v>
      </c>
    </row>
    <row r="539" spans="5:6" x14ac:dyDescent="0.25">
      <c r="E539" t="s">
        <v>1194</v>
      </c>
      <c r="F539" s="8">
        <v>5.8026880027154477E-4</v>
      </c>
    </row>
    <row r="540" spans="5:6" x14ac:dyDescent="0.25">
      <c r="E540" t="s">
        <v>824</v>
      </c>
      <c r="F540" s="8">
        <v>5.8026880027154477E-4</v>
      </c>
    </row>
    <row r="541" spans="5:6" x14ac:dyDescent="0.25">
      <c r="E541" t="s">
        <v>3189</v>
      </c>
      <c r="F541" s="8">
        <v>5.8026880027154477E-4</v>
      </c>
    </row>
    <row r="542" spans="5:6" x14ac:dyDescent="0.25">
      <c r="E542" t="s">
        <v>2234</v>
      </c>
      <c r="F542" s="8">
        <v>5.8026880027154477E-4</v>
      </c>
    </row>
    <row r="543" spans="5:6" x14ac:dyDescent="0.25">
      <c r="E543" t="s">
        <v>3929</v>
      </c>
      <c r="F543" s="8">
        <v>5.8026880027154477E-4</v>
      </c>
    </row>
    <row r="544" spans="5:6" x14ac:dyDescent="0.25">
      <c r="E544" t="s">
        <v>4485</v>
      </c>
      <c r="F544" s="8">
        <v>5.738435252780835E-4</v>
      </c>
    </row>
    <row r="545" spans="5:6" x14ac:dyDescent="0.25">
      <c r="E545" t="s">
        <v>1494</v>
      </c>
      <c r="F545" s="8">
        <v>5.738435252780835E-4</v>
      </c>
    </row>
    <row r="546" spans="5:6" x14ac:dyDescent="0.25">
      <c r="E546" t="s">
        <v>3166</v>
      </c>
      <c r="F546" s="8">
        <v>5.738435252780835E-4</v>
      </c>
    </row>
    <row r="547" spans="5:6" x14ac:dyDescent="0.25">
      <c r="E547" t="s">
        <v>4649</v>
      </c>
      <c r="F547" s="8">
        <v>5.738435252780835E-4</v>
      </c>
    </row>
    <row r="548" spans="5:6" x14ac:dyDescent="0.25">
      <c r="E548" t="s">
        <v>5435</v>
      </c>
      <c r="F548" s="8">
        <v>5.738435252780835E-4</v>
      </c>
    </row>
    <row r="549" spans="5:6" x14ac:dyDescent="0.25">
      <c r="E549" t="s">
        <v>3351</v>
      </c>
      <c r="F549" s="8">
        <v>5.738435252780835E-4</v>
      </c>
    </row>
    <row r="550" spans="5:6" x14ac:dyDescent="0.25">
      <c r="E550" t="s">
        <v>5353</v>
      </c>
      <c r="F550" s="8">
        <v>5.7328962226140575E-4</v>
      </c>
    </row>
    <row r="551" spans="5:6" x14ac:dyDescent="0.25">
      <c r="E551" t="s">
        <v>2040</v>
      </c>
      <c r="F551" s="8">
        <v>5.7328962226140575E-4</v>
      </c>
    </row>
    <row r="552" spans="5:6" x14ac:dyDescent="0.25">
      <c r="E552" t="s">
        <v>1727</v>
      </c>
      <c r="F552" s="8">
        <v>5.689691787313199E-4</v>
      </c>
    </row>
    <row r="553" spans="5:6" x14ac:dyDescent="0.25">
      <c r="E553" t="s">
        <v>4501</v>
      </c>
      <c r="F553" s="8">
        <v>5.4836398651090992E-4</v>
      </c>
    </row>
    <row r="554" spans="5:6" x14ac:dyDescent="0.25">
      <c r="E554" t="s">
        <v>2994</v>
      </c>
      <c r="F554" s="8">
        <v>5.4836398651090992E-4</v>
      </c>
    </row>
    <row r="555" spans="5:6" x14ac:dyDescent="0.25">
      <c r="E555" t="s">
        <v>2777</v>
      </c>
      <c r="F555" s="8">
        <v>5.4836398651090992E-4</v>
      </c>
    </row>
    <row r="556" spans="5:6" x14ac:dyDescent="0.25">
      <c r="E556" t="s">
        <v>5566</v>
      </c>
      <c r="F556" s="8">
        <v>5.3839373221071163E-4</v>
      </c>
    </row>
    <row r="557" spans="5:6" x14ac:dyDescent="0.25">
      <c r="E557" t="s">
        <v>1994</v>
      </c>
      <c r="F557" s="8">
        <v>5.3839373221071163E-4</v>
      </c>
    </row>
    <row r="558" spans="5:6" x14ac:dyDescent="0.25">
      <c r="E558" t="s">
        <v>1085</v>
      </c>
      <c r="F558" s="8">
        <v>5.3839373221071163E-4</v>
      </c>
    </row>
    <row r="559" spans="5:6" x14ac:dyDescent="0.25">
      <c r="E559" t="s">
        <v>4571</v>
      </c>
      <c r="F559" s="8">
        <v>5.3839373221071163E-4</v>
      </c>
    </row>
    <row r="560" spans="5:6" x14ac:dyDescent="0.25">
      <c r="E560" t="s">
        <v>2575</v>
      </c>
      <c r="F560" s="8">
        <v>5.3839373221071163E-4</v>
      </c>
    </row>
    <row r="561" spans="5:6" x14ac:dyDescent="0.25">
      <c r="E561" t="s">
        <v>3210</v>
      </c>
      <c r="F561" s="8">
        <v>5.295312839438686E-4</v>
      </c>
    </row>
    <row r="562" spans="5:6" x14ac:dyDescent="0.25">
      <c r="E562" t="s">
        <v>5037</v>
      </c>
      <c r="F562" s="8">
        <v>5.295312839438686E-4</v>
      </c>
    </row>
    <row r="563" spans="5:6" x14ac:dyDescent="0.25">
      <c r="E563" t="s">
        <v>6043</v>
      </c>
      <c r="F563" s="8">
        <v>5.295312839438686E-4</v>
      </c>
    </row>
    <row r="564" spans="5:6" x14ac:dyDescent="0.25">
      <c r="E564" t="s">
        <v>5934</v>
      </c>
      <c r="F564" s="8">
        <v>5.2908816153052641E-4</v>
      </c>
    </row>
    <row r="565" spans="5:6" x14ac:dyDescent="0.25">
      <c r="E565" t="s">
        <v>4441</v>
      </c>
      <c r="F565" s="8">
        <v>5.2908816153052641E-4</v>
      </c>
    </row>
    <row r="566" spans="5:6" x14ac:dyDescent="0.25">
      <c r="E566" t="s">
        <v>2371</v>
      </c>
      <c r="F566" s="8">
        <v>5.2908816153052641E-4</v>
      </c>
    </row>
    <row r="567" spans="5:6" x14ac:dyDescent="0.25">
      <c r="E567" t="s">
        <v>5755</v>
      </c>
      <c r="F567" s="8">
        <v>5.2908816153052641E-4</v>
      </c>
    </row>
    <row r="568" spans="5:6" x14ac:dyDescent="0.25">
      <c r="E568" t="s">
        <v>1176</v>
      </c>
      <c r="F568" s="8">
        <v>5.2908816153052641E-4</v>
      </c>
    </row>
    <row r="569" spans="5:6" x14ac:dyDescent="0.25">
      <c r="E569" t="s">
        <v>2466</v>
      </c>
      <c r="F569" s="8">
        <v>5.2908816153052641E-4</v>
      </c>
    </row>
    <row r="570" spans="5:6" x14ac:dyDescent="0.25">
      <c r="E570" t="s">
        <v>840</v>
      </c>
      <c r="F570" s="8">
        <v>5.267617688604801E-4</v>
      </c>
    </row>
    <row r="571" spans="5:6" x14ac:dyDescent="0.25">
      <c r="E571" t="s">
        <v>5912</v>
      </c>
      <c r="F571" s="8">
        <v>5.267617688604801E-4</v>
      </c>
    </row>
    <row r="572" spans="5:6" x14ac:dyDescent="0.25">
      <c r="E572" t="s">
        <v>3029</v>
      </c>
      <c r="F572" s="8">
        <v>5.267617688604801E-4</v>
      </c>
    </row>
    <row r="573" spans="5:6" x14ac:dyDescent="0.25">
      <c r="E573" t="s">
        <v>1874</v>
      </c>
      <c r="F573" s="8">
        <v>5.267617688604801E-4</v>
      </c>
    </row>
    <row r="574" spans="5:6" x14ac:dyDescent="0.25">
      <c r="E574" t="s">
        <v>4963</v>
      </c>
      <c r="F574" s="8">
        <v>5.267617688604801E-4</v>
      </c>
    </row>
    <row r="575" spans="5:6" x14ac:dyDescent="0.25">
      <c r="E575" t="s">
        <v>678</v>
      </c>
      <c r="F575" s="8">
        <v>5.267617688604801E-4</v>
      </c>
    </row>
    <row r="576" spans="5:6" x14ac:dyDescent="0.25">
      <c r="E576" t="s">
        <v>3084</v>
      </c>
      <c r="F576" s="8">
        <v>5.267617688604801E-4</v>
      </c>
    </row>
    <row r="577" spans="5:6" x14ac:dyDescent="0.25">
      <c r="E577" t="s">
        <v>1802</v>
      </c>
      <c r="F577" s="8">
        <v>5.267617688604801E-4</v>
      </c>
    </row>
    <row r="578" spans="5:6" x14ac:dyDescent="0.25">
      <c r="E578" t="s">
        <v>4957</v>
      </c>
      <c r="F578" s="8">
        <v>5.1645917275027517E-4</v>
      </c>
    </row>
    <row r="579" spans="5:6" x14ac:dyDescent="0.25">
      <c r="E579" t="s">
        <v>4805</v>
      </c>
      <c r="F579" s="8">
        <v>5.1645917275027517E-4</v>
      </c>
    </row>
    <row r="580" spans="5:6" x14ac:dyDescent="0.25">
      <c r="E580" t="s">
        <v>1744</v>
      </c>
      <c r="F580" s="8">
        <v>5.1645917275027517E-4</v>
      </c>
    </row>
    <row r="581" spans="5:6" x14ac:dyDescent="0.25">
      <c r="E581" t="s">
        <v>2442</v>
      </c>
      <c r="F581" s="8">
        <v>5.1645917275027517E-4</v>
      </c>
    </row>
    <row r="582" spans="5:6" x14ac:dyDescent="0.25">
      <c r="E582" t="s">
        <v>2836</v>
      </c>
      <c r="F582" s="8">
        <v>5.1645917275027517E-4</v>
      </c>
    </row>
    <row r="583" spans="5:6" x14ac:dyDescent="0.25">
      <c r="E583" t="s">
        <v>3601</v>
      </c>
      <c r="F583" s="8">
        <v>5.1645917275027517E-4</v>
      </c>
    </row>
    <row r="584" spans="5:6" x14ac:dyDescent="0.25">
      <c r="E584" t="s">
        <v>2309</v>
      </c>
      <c r="F584" s="8">
        <v>5.1645917275027517E-4</v>
      </c>
    </row>
    <row r="585" spans="5:6" x14ac:dyDescent="0.25">
      <c r="E585" t="s">
        <v>1703</v>
      </c>
      <c r="F585" s="8">
        <v>5.1645917275027517E-4</v>
      </c>
    </row>
    <row r="586" spans="5:6" x14ac:dyDescent="0.25">
      <c r="E586" t="s">
        <v>5052</v>
      </c>
      <c r="F586" s="8">
        <v>5.1645917275027517E-4</v>
      </c>
    </row>
    <row r="587" spans="5:6" x14ac:dyDescent="0.25">
      <c r="E587" t="s">
        <v>2623</v>
      </c>
      <c r="F587" s="8">
        <v>5.1645917275027517E-4</v>
      </c>
    </row>
    <row r="588" spans="5:6" x14ac:dyDescent="0.25">
      <c r="E588" t="s">
        <v>3268</v>
      </c>
      <c r="F588" s="8">
        <v>5.1645917275027517E-4</v>
      </c>
    </row>
    <row r="589" spans="5:6" x14ac:dyDescent="0.25">
      <c r="E589" t="s">
        <v>1397</v>
      </c>
      <c r="F589" s="8">
        <v>5.1645917275027517E-4</v>
      </c>
    </row>
    <row r="590" spans="5:6" x14ac:dyDescent="0.25">
      <c r="E590" t="s">
        <v>5474</v>
      </c>
      <c r="F590" s="8">
        <v>5.1645917275027517E-4</v>
      </c>
    </row>
    <row r="591" spans="5:6" x14ac:dyDescent="0.25">
      <c r="E591" t="s">
        <v>2685</v>
      </c>
      <c r="F591" s="8">
        <v>5.1645917275027517E-4</v>
      </c>
    </row>
    <row r="592" spans="5:6" x14ac:dyDescent="0.25">
      <c r="E592" t="s">
        <v>5841</v>
      </c>
      <c r="F592" s="8">
        <v>5.1645917275027517E-4</v>
      </c>
    </row>
    <row r="593" spans="5:6" x14ac:dyDescent="0.25">
      <c r="E593" t="s">
        <v>4587</v>
      </c>
      <c r="F593" s="8">
        <v>5.1645917275027517E-4</v>
      </c>
    </row>
    <row r="594" spans="5:6" x14ac:dyDescent="0.25">
      <c r="E594" t="s">
        <v>5207</v>
      </c>
      <c r="F594" s="8">
        <v>5.0704282146675451E-4</v>
      </c>
    </row>
    <row r="595" spans="5:6" x14ac:dyDescent="0.25">
      <c r="E595" t="s">
        <v>4928</v>
      </c>
      <c r="F595" s="8">
        <v>5.0704282146675451E-4</v>
      </c>
    </row>
    <row r="596" spans="5:6" x14ac:dyDescent="0.25">
      <c r="E596" t="s">
        <v>3550</v>
      </c>
      <c r="F596" s="8">
        <v>5.0704282146675451E-4</v>
      </c>
    </row>
    <row r="597" spans="5:6" x14ac:dyDescent="0.25">
      <c r="E597" t="s">
        <v>2359</v>
      </c>
      <c r="F597" s="8">
        <v>5.0704282146675451E-4</v>
      </c>
    </row>
    <row r="598" spans="5:6" x14ac:dyDescent="0.25">
      <c r="E598" t="s">
        <v>1650</v>
      </c>
      <c r="F598" s="8">
        <v>4.9851271500991814E-4</v>
      </c>
    </row>
    <row r="599" spans="5:6" x14ac:dyDescent="0.25">
      <c r="E599" t="s">
        <v>2925</v>
      </c>
      <c r="F599" s="8">
        <v>4.9851271500991814E-4</v>
      </c>
    </row>
    <row r="600" spans="5:6" x14ac:dyDescent="0.25">
      <c r="E600" t="s">
        <v>5874</v>
      </c>
      <c r="F600" s="8">
        <v>4.9851271500991814E-4</v>
      </c>
    </row>
    <row r="601" spans="5:6" x14ac:dyDescent="0.25">
      <c r="E601" t="s">
        <v>5423</v>
      </c>
      <c r="F601" s="8">
        <v>4.9851271500991814E-4</v>
      </c>
    </row>
    <row r="602" spans="5:6" x14ac:dyDescent="0.25">
      <c r="E602" t="s">
        <v>2472</v>
      </c>
      <c r="F602" s="8">
        <v>4.9851271500991814E-4</v>
      </c>
    </row>
    <row r="603" spans="5:6" x14ac:dyDescent="0.25">
      <c r="E603" t="s">
        <v>2988</v>
      </c>
      <c r="F603" s="8">
        <v>4.9352758785981888E-4</v>
      </c>
    </row>
    <row r="604" spans="5:6" x14ac:dyDescent="0.25">
      <c r="E604" t="s">
        <v>5940</v>
      </c>
      <c r="F604" s="8">
        <v>4.9352758785981888E-4</v>
      </c>
    </row>
    <row r="605" spans="5:6" x14ac:dyDescent="0.25">
      <c r="E605" t="s">
        <v>3891</v>
      </c>
      <c r="F605" s="8">
        <v>4.9352758785981888E-4</v>
      </c>
    </row>
    <row r="606" spans="5:6" x14ac:dyDescent="0.25">
      <c r="E606" t="s">
        <v>2000</v>
      </c>
      <c r="F606" s="8">
        <v>4.8455435898964042E-4</v>
      </c>
    </row>
    <row r="607" spans="5:6" x14ac:dyDescent="0.25">
      <c r="E607" t="s">
        <v>1154</v>
      </c>
      <c r="F607" s="8">
        <v>4.8455435898964042E-4</v>
      </c>
    </row>
    <row r="608" spans="5:6" x14ac:dyDescent="0.25">
      <c r="E608" t="s">
        <v>4604</v>
      </c>
      <c r="F608" s="8">
        <v>4.8455435898964042E-4</v>
      </c>
    </row>
    <row r="609" spans="5:6" x14ac:dyDescent="0.25">
      <c r="E609" t="s">
        <v>526</v>
      </c>
      <c r="F609" s="8">
        <v>4.8455435898964042E-4</v>
      </c>
    </row>
    <row r="610" spans="5:6" x14ac:dyDescent="0.25">
      <c r="E610" t="s">
        <v>4468</v>
      </c>
      <c r="F610" s="8">
        <v>4.8455435898964042E-4</v>
      </c>
    </row>
    <row r="611" spans="5:6" x14ac:dyDescent="0.25">
      <c r="E611" t="s">
        <v>2646</v>
      </c>
      <c r="F611" s="8">
        <v>4.8455435898964042E-4</v>
      </c>
    </row>
    <row r="612" spans="5:6" x14ac:dyDescent="0.25">
      <c r="E612" t="s">
        <v>1461</v>
      </c>
      <c r="F612" s="8">
        <v>4.8455435898964042E-4</v>
      </c>
    </row>
    <row r="613" spans="5:6" x14ac:dyDescent="0.25">
      <c r="E613" t="s">
        <v>6037</v>
      </c>
      <c r="F613" s="8">
        <v>4.8455435898964042E-4</v>
      </c>
    </row>
    <row r="614" spans="5:6" x14ac:dyDescent="0.25">
      <c r="E614" t="s">
        <v>1403</v>
      </c>
      <c r="F614" s="8">
        <v>4.8455435898964042E-4</v>
      </c>
    </row>
    <row r="615" spans="5:6" x14ac:dyDescent="0.25">
      <c r="E615" t="s">
        <v>4644</v>
      </c>
      <c r="F615" s="8">
        <v>4.8455435898964042E-4</v>
      </c>
    </row>
    <row r="616" spans="5:6" x14ac:dyDescent="0.25">
      <c r="E616" t="s">
        <v>1188</v>
      </c>
      <c r="F616" s="8">
        <v>4.8355733355962064E-4</v>
      </c>
    </row>
    <row r="617" spans="5:6" x14ac:dyDescent="0.25">
      <c r="E617" t="s">
        <v>904</v>
      </c>
      <c r="F617" s="8">
        <v>4.8355733355962064E-4</v>
      </c>
    </row>
    <row r="618" spans="5:6" x14ac:dyDescent="0.25">
      <c r="E618" t="s">
        <v>2211</v>
      </c>
      <c r="F618" s="8">
        <v>4.8355733355962064E-4</v>
      </c>
    </row>
    <row r="619" spans="5:6" x14ac:dyDescent="0.25">
      <c r="E619" t="s">
        <v>3232</v>
      </c>
      <c r="F619" s="8">
        <v>4.7657815554948168E-4</v>
      </c>
    </row>
    <row r="620" spans="5:6" x14ac:dyDescent="0.25">
      <c r="E620" t="s">
        <v>4849</v>
      </c>
      <c r="F620" s="8">
        <v>4.7657815554948168E-4</v>
      </c>
    </row>
    <row r="621" spans="5:6" x14ac:dyDescent="0.25">
      <c r="E621" t="s">
        <v>3792</v>
      </c>
      <c r="F621" s="8">
        <v>4.7657815554948168E-4</v>
      </c>
    </row>
    <row r="622" spans="5:6" x14ac:dyDescent="0.25">
      <c r="E622" t="s">
        <v>3404</v>
      </c>
      <c r="F622" s="8">
        <v>4.7657815554948168E-4</v>
      </c>
    </row>
    <row r="623" spans="5:6" x14ac:dyDescent="0.25">
      <c r="E623" t="s">
        <v>5376</v>
      </c>
      <c r="F623" s="8">
        <v>4.7657815554948168E-4</v>
      </c>
    </row>
    <row r="624" spans="5:6" x14ac:dyDescent="0.25">
      <c r="E624" t="s">
        <v>2517</v>
      </c>
      <c r="F624" s="8">
        <v>4.7657815554948168E-4</v>
      </c>
    </row>
    <row r="625" spans="5:6" x14ac:dyDescent="0.25">
      <c r="E625" t="s">
        <v>5868</v>
      </c>
      <c r="F625" s="8">
        <v>4.7657815554948168E-4</v>
      </c>
    </row>
    <row r="626" spans="5:6" x14ac:dyDescent="0.25">
      <c r="E626" t="s">
        <v>3736</v>
      </c>
      <c r="F626" s="8">
        <v>4.7657815554948168E-4</v>
      </c>
    </row>
    <row r="627" spans="5:6" x14ac:dyDescent="0.25">
      <c r="E627" t="s">
        <v>1930</v>
      </c>
      <c r="F627" s="8">
        <v>4.7657815554948168E-4</v>
      </c>
    </row>
    <row r="628" spans="5:6" x14ac:dyDescent="0.25">
      <c r="E628" t="s">
        <v>1886</v>
      </c>
      <c r="F628" s="8">
        <v>4.7657815554948168E-4</v>
      </c>
    </row>
    <row r="629" spans="5:6" x14ac:dyDescent="0.25">
      <c r="E629" t="s">
        <v>3507</v>
      </c>
      <c r="F629" s="8">
        <v>4.7591347192946844E-4</v>
      </c>
    </row>
    <row r="630" spans="5:6" x14ac:dyDescent="0.25">
      <c r="E630" t="s">
        <v>2348</v>
      </c>
      <c r="F630" s="8">
        <v>4.7591347192946844E-4</v>
      </c>
    </row>
    <row r="631" spans="5:6" x14ac:dyDescent="0.25">
      <c r="E631" t="s">
        <v>5539</v>
      </c>
      <c r="F631" s="8">
        <v>4.5696998875909163E-4</v>
      </c>
    </row>
    <row r="632" spans="5:6" x14ac:dyDescent="0.25">
      <c r="E632" t="s">
        <v>5166</v>
      </c>
      <c r="F632" s="8">
        <v>4.5696998875909163E-4</v>
      </c>
    </row>
    <row r="633" spans="5:6" x14ac:dyDescent="0.25">
      <c r="E633" t="s">
        <v>1808</v>
      </c>
      <c r="F633" s="8">
        <v>4.5696998875909163E-4</v>
      </c>
    </row>
    <row r="634" spans="5:6" x14ac:dyDescent="0.25">
      <c r="E634" t="s">
        <v>1690</v>
      </c>
      <c r="F634" s="8">
        <v>4.5608374393240724E-4</v>
      </c>
    </row>
    <row r="635" spans="5:6" x14ac:dyDescent="0.25">
      <c r="E635" t="s">
        <v>3120</v>
      </c>
      <c r="F635" s="8">
        <v>4.5608374393240724E-4</v>
      </c>
    </row>
    <row r="636" spans="5:6" x14ac:dyDescent="0.25">
      <c r="E636" t="s">
        <v>4431</v>
      </c>
      <c r="F636" s="8">
        <v>4.486614435089263E-4</v>
      </c>
    </row>
    <row r="637" spans="5:6" x14ac:dyDescent="0.25">
      <c r="E637" t="s">
        <v>583</v>
      </c>
      <c r="F637" s="8">
        <v>4.486614435089263E-4</v>
      </c>
    </row>
    <row r="638" spans="5:6" x14ac:dyDescent="0.25">
      <c r="E638" t="s">
        <v>4877</v>
      </c>
      <c r="F638" s="8">
        <v>4.486614435089263E-4</v>
      </c>
    </row>
    <row r="639" spans="5:6" x14ac:dyDescent="0.25">
      <c r="E639" t="s">
        <v>4043</v>
      </c>
      <c r="F639" s="8">
        <v>4.486614435089263E-4</v>
      </c>
    </row>
    <row r="640" spans="5:6" x14ac:dyDescent="0.25">
      <c r="E640" t="s">
        <v>2303</v>
      </c>
      <c r="F640" s="8">
        <v>4.486614435089263E-4</v>
      </c>
    </row>
    <row r="641" spans="5:6" x14ac:dyDescent="0.25">
      <c r="E641" t="s">
        <v>3691</v>
      </c>
      <c r="F641" s="8">
        <v>4.486614435089263E-4</v>
      </c>
    </row>
    <row r="642" spans="5:6" x14ac:dyDescent="0.25">
      <c r="E642" t="s">
        <v>4225</v>
      </c>
      <c r="F642" s="8">
        <v>4.486614435089263E-4</v>
      </c>
    </row>
    <row r="643" spans="5:6" x14ac:dyDescent="0.25">
      <c r="E643" t="s">
        <v>5312</v>
      </c>
      <c r="F643" s="8">
        <v>4.4090680127543866E-4</v>
      </c>
    </row>
    <row r="644" spans="5:6" x14ac:dyDescent="0.25">
      <c r="E644" t="s">
        <v>4866</v>
      </c>
      <c r="F644" s="8">
        <v>4.4090680127543866E-4</v>
      </c>
    </row>
    <row r="645" spans="5:6" x14ac:dyDescent="0.25">
      <c r="E645" t="s">
        <v>2431</v>
      </c>
      <c r="F645" s="8">
        <v>4.4090680127543866E-4</v>
      </c>
    </row>
    <row r="646" spans="5:6" x14ac:dyDescent="0.25">
      <c r="E646" t="s">
        <v>1569</v>
      </c>
      <c r="F646" s="8">
        <v>4.3038264395856257E-4</v>
      </c>
    </row>
    <row r="647" spans="5:6" x14ac:dyDescent="0.25">
      <c r="E647" t="s">
        <v>4737</v>
      </c>
      <c r="F647" s="8">
        <v>4.2140941508838411E-4</v>
      </c>
    </row>
    <row r="648" spans="5:6" x14ac:dyDescent="0.25">
      <c r="E648" t="s">
        <v>1142</v>
      </c>
      <c r="F648" s="8">
        <v>4.2140941508838411E-4</v>
      </c>
    </row>
    <row r="649" spans="5:6" x14ac:dyDescent="0.25">
      <c r="E649" t="s">
        <v>4447</v>
      </c>
      <c r="F649" s="8">
        <v>4.2140941508838411E-4</v>
      </c>
    </row>
    <row r="650" spans="5:6" x14ac:dyDescent="0.25">
      <c r="E650" t="s">
        <v>3702</v>
      </c>
      <c r="F650" s="8">
        <v>4.2140941508838411E-4</v>
      </c>
    </row>
    <row r="651" spans="5:6" x14ac:dyDescent="0.25">
      <c r="E651" t="s">
        <v>5429</v>
      </c>
      <c r="F651" s="8">
        <v>4.140978952682386E-4</v>
      </c>
    </row>
    <row r="652" spans="5:6" x14ac:dyDescent="0.25">
      <c r="E652" t="s">
        <v>1324</v>
      </c>
      <c r="F652" s="8">
        <v>4.0379529915803372E-4</v>
      </c>
    </row>
    <row r="653" spans="5:6" x14ac:dyDescent="0.25">
      <c r="E653" t="s">
        <v>2315</v>
      </c>
      <c r="F653" s="8">
        <v>4.0379529915803372E-4</v>
      </c>
    </row>
    <row r="654" spans="5:6" x14ac:dyDescent="0.25">
      <c r="E654" t="s">
        <v>4975</v>
      </c>
      <c r="F654" s="8">
        <v>3.971484629579014E-4</v>
      </c>
    </row>
    <row r="655" spans="5:6" x14ac:dyDescent="0.25">
      <c r="E655" t="s">
        <v>1779</v>
      </c>
      <c r="F655" s="8">
        <v>3.971484629579014E-4</v>
      </c>
    </row>
    <row r="656" spans="5:6" x14ac:dyDescent="0.25">
      <c r="E656" t="s">
        <v>5387</v>
      </c>
      <c r="F656" s="8">
        <v>3.9681612114789481E-4</v>
      </c>
    </row>
    <row r="657" spans="5:6" x14ac:dyDescent="0.25">
      <c r="E657" t="s">
        <v>2365</v>
      </c>
      <c r="F657" s="8">
        <v>3.9681612114789481E-4</v>
      </c>
    </row>
    <row r="658" spans="5:6" x14ac:dyDescent="0.25">
      <c r="E658" t="s">
        <v>651</v>
      </c>
      <c r="F658" s="8">
        <v>3.9681612114789481E-4</v>
      </c>
    </row>
    <row r="659" spans="5:6" x14ac:dyDescent="0.25">
      <c r="E659" t="s">
        <v>3661</v>
      </c>
      <c r="F659" s="8">
        <v>3.9681612114789481E-4</v>
      </c>
    </row>
    <row r="660" spans="5:6" x14ac:dyDescent="0.25">
      <c r="E660" t="s">
        <v>4690</v>
      </c>
      <c r="F660" s="8">
        <v>3.9681612114789481E-4</v>
      </c>
    </row>
    <row r="661" spans="5:6" x14ac:dyDescent="0.25">
      <c r="E661" t="s">
        <v>3747</v>
      </c>
      <c r="F661" s="8">
        <v>3.9681612114789481E-4</v>
      </c>
    </row>
    <row r="662" spans="5:6" x14ac:dyDescent="0.25">
      <c r="E662" t="s">
        <v>4696</v>
      </c>
      <c r="F662" s="8">
        <v>3.9681612114789481E-4</v>
      </c>
    </row>
    <row r="663" spans="5:6" x14ac:dyDescent="0.25">
      <c r="E663" t="s">
        <v>4507</v>
      </c>
      <c r="F663" s="8">
        <v>3.9681612114789481E-4</v>
      </c>
    </row>
    <row r="664" spans="5:6" x14ac:dyDescent="0.25">
      <c r="E664" t="s">
        <v>1091</v>
      </c>
      <c r="F664" s="8">
        <v>3.9681612114789481E-4</v>
      </c>
    </row>
    <row r="665" spans="5:6" x14ac:dyDescent="0.25">
      <c r="E665" t="s">
        <v>1020</v>
      </c>
      <c r="F665" s="8">
        <v>3.9681612114789481E-4</v>
      </c>
    </row>
    <row r="666" spans="5:6" x14ac:dyDescent="0.25">
      <c r="E666" t="s">
        <v>2735</v>
      </c>
      <c r="F666" s="8">
        <v>3.9681612114789481E-4</v>
      </c>
    </row>
    <row r="667" spans="5:6" x14ac:dyDescent="0.25">
      <c r="E667" t="s">
        <v>2139</v>
      </c>
      <c r="F667" s="8">
        <v>3.9681612114789481E-4</v>
      </c>
    </row>
    <row r="668" spans="5:6" x14ac:dyDescent="0.25">
      <c r="E668" t="s">
        <v>537</v>
      </c>
      <c r="F668" s="8">
        <v>3.9681612114789481E-4</v>
      </c>
    </row>
    <row r="669" spans="5:6" x14ac:dyDescent="0.25">
      <c r="E669" t="s">
        <v>2668</v>
      </c>
      <c r="F669" s="8">
        <v>3.9681612114789481E-4</v>
      </c>
    </row>
    <row r="670" spans="5:6" x14ac:dyDescent="0.25">
      <c r="E670" t="s">
        <v>610</v>
      </c>
      <c r="F670" s="8">
        <v>3.9681612114789481E-4</v>
      </c>
    </row>
    <row r="671" spans="5:6" x14ac:dyDescent="0.25">
      <c r="E671" t="s">
        <v>3012</v>
      </c>
      <c r="F671" s="8">
        <v>3.9681612114789481E-4</v>
      </c>
    </row>
    <row r="672" spans="5:6" x14ac:dyDescent="0.25">
      <c r="E672" t="s">
        <v>4772</v>
      </c>
      <c r="F672" s="8">
        <v>3.9681612114789481E-4</v>
      </c>
    </row>
    <row r="673" spans="5:6" x14ac:dyDescent="0.25">
      <c r="E673" t="s">
        <v>2873</v>
      </c>
      <c r="F673" s="8">
        <v>3.9681612114789481E-4</v>
      </c>
    </row>
    <row r="674" spans="5:6" x14ac:dyDescent="0.25">
      <c r="E674" t="s">
        <v>5404</v>
      </c>
      <c r="F674" s="8">
        <v>3.9681612114789481E-4</v>
      </c>
    </row>
    <row r="675" spans="5:6" x14ac:dyDescent="0.25">
      <c r="E675" t="s">
        <v>2593</v>
      </c>
      <c r="F675" s="8">
        <v>3.9681612114789481E-4</v>
      </c>
    </row>
    <row r="676" spans="5:6" x14ac:dyDescent="0.25">
      <c r="E676" t="s">
        <v>1443</v>
      </c>
      <c r="F676" s="8">
        <v>3.9659455994122371E-4</v>
      </c>
    </row>
    <row r="677" spans="5:6" x14ac:dyDescent="0.25">
      <c r="E677" t="s">
        <v>2884</v>
      </c>
      <c r="F677" s="8">
        <v>3.9659455994122371E-4</v>
      </c>
    </row>
    <row r="678" spans="5:6" x14ac:dyDescent="0.25">
      <c r="E678" t="s">
        <v>4871</v>
      </c>
      <c r="F678" s="8">
        <v>3.9482207028785515E-4</v>
      </c>
    </row>
    <row r="679" spans="5:6" x14ac:dyDescent="0.25">
      <c r="E679" t="s">
        <v>4473</v>
      </c>
      <c r="F679" s="8">
        <v>3.9482207028785515E-4</v>
      </c>
    </row>
    <row r="680" spans="5:6" x14ac:dyDescent="0.25">
      <c r="E680" t="s">
        <v>3613</v>
      </c>
      <c r="F680" s="8">
        <v>3.9482207028785515E-4</v>
      </c>
    </row>
    <row r="681" spans="5:6" x14ac:dyDescent="0.25">
      <c r="E681" t="s">
        <v>909</v>
      </c>
      <c r="F681" s="8">
        <v>3.9482207028785515E-4</v>
      </c>
    </row>
    <row r="682" spans="5:6" x14ac:dyDescent="0.25">
      <c r="E682" t="s">
        <v>4496</v>
      </c>
      <c r="F682" s="8">
        <v>3.9482207028785515E-4</v>
      </c>
    </row>
    <row r="683" spans="5:6" x14ac:dyDescent="0.25">
      <c r="E683" t="s">
        <v>1307</v>
      </c>
      <c r="F683" s="8">
        <v>3.8684586684769646E-4</v>
      </c>
    </row>
    <row r="684" spans="5:6" x14ac:dyDescent="0.25">
      <c r="E684" t="s">
        <v>5503</v>
      </c>
      <c r="F684" s="8">
        <v>3.8684586684769646E-4</v>
      </c>
    </row>
    <row r="685" spans="5:6" x14ac:dyDescent="0.25">
      <c r="E685" t="s">
        <v>1295</v>
      </c>
      <c r="F685" s="8">
        <v>3.8684586684769646E-4</v>
      </c>
    </row>
    <row r="686" spans="5:6" x14ac:dyDescent="0.25">
      <c r="E686" t="s">
        <v>5599</v>
      </c>
      <c r="F686" s="8">
        <v>3.8684586684769646E-4</v>
      </c>
    </row>
    <row r="687" spans="5:6" x14ac:dyDescent="0.25">
      <c r="E687" t="s">
        <v>645</v>
      </c>
      <c r="F687" s="8">
        <v>3.7388453625743857E-4</v>
      </c>
    </row>
    <row r="688" spans="5:6" x14ac:dyDescent="0.25">
      <c r="E688" t="s">
        <v>5149</v>
      </c>
      <c r="F688" s="8">
        <v>3.7388453625743857E-4</v>
      </c>
    </row>
    <row r="689" spans="5:6" x14ac:dyDescent="0.25">
      <c r="E689" t="s">
        <v>4514</v>
      </c>
      <c r="F689" s="8">
        <v>3.655759910072733E-4</v>
      </c>
    </row>
    <row r="690" spans="5:6" x14ac:dyDescent="0.25">
      <c r="E690" t="s">
        <v>740</v>
      </c>
      <c r="F690" s="8">
        <v>3.655759910072733E-4</v>
      </c>
    </row>
    <row r="691" spans="5:6" x14ac:dyDescent="0.25">
      <c r="E691" t="s">
        <v>2135</v>
      </c>
      <c r="F691" s="8">
        <v>3.655759910072733E-4</v>
      </c>
    </row>
    <row r="692" spans="5:6" x14ac:dyDescent="0.25">
      <c r="E692" t="s">
        <v>4373</v>
      </c>
      <c r="F692" s="8">
        <v>3.655759910072733E-4</v>
      </c>
    </row>
    <row r="693" spans="5:6" x14ac:dyDescent="0.25">
      <c r="E693" t="s">
        <v>3501</v>
      </c>
      <c r="F693" s="8">
        <v>3.655759910072733E-4</v>
      </c>
    </row>
    <row r="694" spans="5:6" x14ac:dyDescent="0.25">
      <c r="E694" t="s">
        <v>1773</v>
      </c>
      <c r="F694" s="8">
        <v>3.5693510394710137E-4</v>
      </c>
    </row>
    <row r="695" spans="5:6" x14ac:dyDescent="0.25">
      <c r="E695" t="s">
        <v>1409</v>
      </c>
      <c r="F695" s="8">
        <v>3.5693510394710137E-4</v>
      </c>
    </row>
    <row r="696" spans="5:6" x14ac:dyDescent="0.25">
      <c r="E696" t="s">
        <v>5014</v>
      </c>
      <c r="F696" s="8">
        <v>3.5693510394710137E-4</v>
      </c>
    </row>
    <row r="697" spans="5:6" x14ac:dyDescent="0.25">
      <c r="E697" t="s">
        <v>2165</v>
      </c>
      <c r="F697" s="8">
        <v>3.5693510394710137E-4</v>
      </c>
    </row>
    <row r="698" spans="5:6" x14ac:dyDescent="0.25">
      <c r="E698" t="s">
        <v>3090</v>
      </c>
      <c r="F698" s="8">
        <v>3.5693510394710137E-4</v>
      </c>
    </row>
    <row r="699" spans="5:6" x14ac:dyDescent="0.25">
      <c r="E699" t="s">
        <v>1136</v>
      </c>
      <c r="F699" s="8">
        <v>3.5117451257365344E-4</v>
      </c>
    </row>
    <row r="700" spans="5:6" x14ac:dyDescent="0.25">
      <c r="E700" t="s">
        <v>3573</v>
      </c>
      <c r="F700" s="8">
        <v>3.4430611516685008E-4</v>
      </c>
    </row>
    <row r="701" spans="5:6" x14ac:dyDescent="0.25">
      <c r="E701" t="s">
        <v>2189</v>
      </c>
      <c r="F701" s="8">
        <v>3.4430611516685008E-4</v>
      </c>
    </row>
    <row r="702" spans="5:6" x14ac:dyDescent="0.25">
      <c r="E702" t="s">
        <v>3986</v>
      </c>
      <c r="F702" s="8">
        <v>3.4430611516685008E-4</v>
      </c>
    </row>
    <row r="703" spans="5:6" x14ac:dyDescent="0.25">
      <c r="E703" t="s">
        <v>774</v>
      </c>
      <c r="F703" s="8">
        <v>3.4430611516685008E-4</v>
      </c>
    </row>
    <row r="704" spans="5:6" x14ac:dyDescent="0.25">
      <c r="E704" t="s">
        <v>5811</v>
      </c>
      <c r="F704" s="8">
        <v>3.4430611516685008E-4</v>
      </c>
    </row>
    <row r="705" spans="5:6" x14ac:dyDescent="0.25">
      <c r="E705" t="s">
        <v>4622</v>
      </c>
      <c r="F705" s="8">
        <v>3.4430611516685008E-4</v>
      </c>
    </row>
    <row r="706" spans="5:6" x14ac:dyDescent="0.25">
      <c r="E706" t="s">
        <v>3567</v>
      </c>
      <c r="F706" s="8">
        <v>3.4430611516685008E-4</v>
      </c>
    </row>
    <row r="707" spans="5:6" x14ac:dyDescent="0.25">
      <c r="E707" t="s">
        <v>2805</v>
      </c>
      <c r="F707" s="8">
        <v>3.4430611516685008E-4</v>
      </c>
    </row>
    <row r="708" spans="5:6" x14ac:dyDescent="0.25">
      <c r="E708" t="s">
        <v>3645</v>
      </c>
      <c r="F708" s="8">
        <v>3.4430611516685008E-4</v>
      </c>
    </row>
    <row r="709" spans="5:6" x14ac:dyDescent="0.25">
      <c r="E709" t="s">
        <v>1285</v>
      </c>
      <c r="F709" s="8">
        <v>3.4430611516685008E-4</v>
      </c>
    </row>
    <row r="710" spans="5:6" x14ac:dyDescent="0.25">
      <c r="E710" t="s">
        <v>3262</v>
      </c>
      <c r="F710" s="8">
        <v>3.4430611516685008E-4</v>
      </c>
    </row>
    <row r="711" spans="5:6" x14ac:dyDescent="0.25">
      <c r="E711" t="s">
        <v>5109</v>
      </c>
      <c r="F711" s="8">
        <v>3.4430611516685008E-4</v>
      </c>
    </row>
    <row r="712" spans="5:6" x14ac:dyDescent="0.25">
      <c r="E712" t="s">
        <v>2640</v>
      </c>
      <c r="F712" s="8">
        <v>3.3068010095657901E-4</v>
      </c>
    </row>
    <row r="713" spans="5:6" x14ac:dyDescent="0.25">
      <c r="E713" t="s">
        <v>2217</v>
      </c>
      <c r="F713" s="8">
        <v>3.3068010095657901E-4</v>
      </c>
    </row>
    <row r="714" spans="5:6" x14ac:dyDescent="0.25">
      <c r="E714" t="s">
        <v>3250</v>
      </c>
      <c r="F714" s="8">
        <v>3.3068010095657901E-4</v>
      </c>
    </row>
    <row r="715" spans="5:6" x14ac:dyDescent="0.25">
      <c r="E715" t="s">
        <v>2240</v>
      </c>
      <c r="F715" s="8">
        <v>3.2901839190654594E-4</v>
      </c>
    </row>
    <row r="716" spans="5:6" x14ac:dyDescent="0.25">
      <c r="E716" t="s">
        <v>3852</v>
      </c>
      <c r="F716" s="8">
        <v>3.2901839190654594E-4</v>
      </c>
    </row>
    <row r="717" spans="5:6" x14ac:dyDescent="0.25">
      <c r="E717" t="s">
        <v>2691</v>
      </c>
      <c r="F717" s="8">
        <v>3.2303623932642696E-4</v>
      </c>
    </row>
    <row r="718" spans="5:6" x14ac:dyDescent="0.25">
      <c r="E718" t="s">
        <v>4701</v>
      </c>
      <c r="F718" s="8">
        <v>3.2303623932642696E-4</v>
      </c>
    </row>
    <row r="719" spans="5:6" x14ac:dyDescent="0.25">
      <c r="E719" t="s">
        <v>4719</v>
      </c>
      <c r="F719" s="8">
        <v>3.2303623932642696E-4</v>
      </c>
    </row>
    <row r="720" spans="5:6" x14ac:dyDescent="0.25">
      <c r="E720" t="s">
        <v>1229</v>
      </c>
      <c r="F720" s="8">
        <v>3.2303623932642696E-4</v>
      </c>
    </row>
    <row r="721" spans="5:6" x14ac:dyDescent="0.25">
      <c r="E721" t="s">
        <v>4524</v>
      </c>
      <c r="F721" s="8">
        <v>3.2303623932642696E-4</v>
      </c>
    </row>
    <row r="722" spans="5:6" x14ac:dyDescent="0.25">
      <c r="E722" t="s">
        <v>1684</v>
      </c>
      <c r="F722" s="8">
        <v>3.2303623932642696E-4</v>
      </c>
    </row>
    <row r="723" spans="5:6" x14ac:dyDescent="0.25">
      <c r="E723" t="s">
        <v>1125</v>
      </c>
      <c r="F723" s="8">
        <v>3.2237155570641373E-4</v>
      </c>
    </row>
    <row r="724" spans="5:6" x14ac:dyDescent="0.25">
      <c r="E724" t="s">
        <v>2114</v>
      </c>
      <c r="F724" s="8">
        <v>3.1771877036632112E-4</v>
      </c>
    </row>
    <row r="725" spans="5:6" x14ac:dyDescent="0.25">
      <c r="E725" t="s">
        <v>5863</v>
      </c>
      <c r="F725" s="8">
        <v>3.1771877036632112E-4</v>
      </c>
    </row>
    <row r="726" spans="5:6" x14ac:dyDescent="0.25">
      <c r="E726" t="s">
        <v>2890</v>
      </c>
      <c r="F726" s="8">
        <v>3.1771877036632112E-4</v>
      </c>
    </row>
    <row r="727" spans="5:6" x14ac:dyDescent="0.25">
      <c r="E727" t="s">
        <v>5805</v>
      </c>
      <c r="F727" s="8">
        <v>3.1771877036632112E-4</v>
      </c>
    </row>
    <row r="728" spans="5:6" x14ac:dyDescent="0.25">
      <c r="E728" t="s">
        <v>3679</v>
      </c>
      <c r="F728" s="8">
        <v>3.1771877036632112E-4</v>
      </c>
    </row>
    <row r="729" spans="5:6" x14ac:dyDescent="0.25">
      <c r="E729" t="s">
        <v>1761</v>
      </c>
      <c r="F729" s="8">
        <v>3.1771877036632112E-4</v>
      </c>
    </row>
    <row r="730" spans="5:6" x14ac:dyDescent="0.25">
      <c r="E730" t="s">
        <v>2460</v>
      </c>
      <c r="F730" s="8">
        <v>3.1771877036632112E-4</v>
      </c>
    </row>
    <row r="731" spans="5:6" x14ac:dyDescent="0.25">
      <c r="E731" t="s">
        <v>1131</v>
      </c>
      <c r="F731" s="8">
        <v>3.1771877036632112E-4</v>
      </c>
    </row>
    <row r="732" spans="5:6" x14ac:dyDescent="0.25">
      <c r="E732" t="s">
        <v>2321</v>
      </c>
      <c r="F732" s="8">
        <v>3.0464665917272774E-4</v>
      </c>
    </row>
    <row r="733" spans="5:6" x14ac:dyDescent="0.25">
      <c r="E733" t="s">
        <v>4490</v>
      </c>
      <c r="F733" s="8">
        <v>2.991076290059509E-4</v>
      </c>
    </row>
    <row r="734" spans="5:6" x14ac:dyDescent="0.25">
      <c r="E734" t="s">
        <v>4203</v>
      </c>
      <c r="F734" s="8">
        <v>2.991076290059509E-4</v>
      </c>
    </row>
    <row r="735" spans="5:6" x14ac:dyDescent="0.25">
      <c r="E735" t="s">
        <v>1034</v>
      </c>
      <c r="F735" s="8">
        <v>2.991076290059509E-4</v>
      </c>
    </row>
    <row r="736" spans="5:6" x14ac:dyDescent="0.25">
      <c r="E736" t="s">
        <v>2696</v>
      </c>
      <c r="F736" s="8">
        <v>2.991076290059509E-4</v>
      </c>
    </row>
    <row r="737" spans="5:6" x14ac:dyDescent="0.25">
      <c r="E737" t="s">
        <v>3381</v>
      </c>
      <c r="F737" s="8">
        <v>2.991076290059509E-4</v>
      </c>
    </row>
    <row r="738" spans="5:6" x14ac:dyDescent="0.25">
      <c r="E738" t="s">
        <v>3947</v>
      </c>
      <c r="F738" s="8">
        <v>2.991076290059509E-4</v>
      </c>
    </row>
    <row r="739" spans="5:6" x14ac:dyDescent="0.25">
      <c r="E739" t="s">
        <v>2109</v>
      </c>
      <c r="F739" s="8">
        <v>2.991076290059509E-4</v>
      </c>
    </row>
    <row r="740" spans="5:6" x14ac:dyDescent="0.25">
      <c r="E740" t="s">
        <v>5689</v>
      </c>
      <c r="F740" s="8">
        <v>2.9744591995591773E-4</v>
      </c>
    </row>
    <row r="741" spans="5:6" x14ac:dyDescent="0.25">
      <c r="E741" t="s">
        <v>2125</v>
      </c>
      <c r="F741" s="8">
        <v>2.9744591995591773E-4</v>
      </c>
    </row>
    <row r="742" spans="5:6" x14ac:dyDescent="0.25">
      <c r="E742" t="s">
        <v>3460</v>
      </c>
      <c r="F742" s="8">
        <v>2.9744591995591773E-4</v>
      </c>
    </row>
    <row r="743" spans="5:6" x14ac:dyDescent="0.25">
      <c r="E743" t="s">
        <v>4639</v>
      </c>
      <c r="F743" s="8">
        <v>2.9744591995591773E-4</v>
      </c>
    </row>
    <row r="744" spans="5:6" x14ac:dyDescent="0.25">
      <c r="E744" t="s">
        <v>5509</v>
      </c>
      <c r="F744" s="8">
        <v>2.9611655271589136E-4</v>
      </c>
    </row>
    <row r="745" spans="5:6" x14ac:dyDescent="0.25">
      <c r="E745" t="s">
        <v>1108</v>
      </c>
      <c r="F745" s="8">
        <v>2.9611655271589136E-4</v>
      </c>
    </row>
    <row r="746" spans="5:6" x14ac:dyDescent="0.25">
      <c r="E746" t="s">
        <v>3589</v>
      </c>
      <c r="F746" s="8">
        <v>2.9611655271589136E-4</v>
      </c>
    </row>
    <row r="747" spans="5:6" x14ac:dyDescent="0.25">
      <c r="E747" t="s">
        <v>4276</v>
      </c>
      <c r="F747" s="8">
        <v>2.9013440013577239E-4</v>
      </c>
    </row>
    <row r="748" spans="5:6" x14ac:dyDescent="0.25">
      <c r="E748" t="s">
        <v>1045</v>
      </c>
      <c r="F748" s="8">
        <v>2.9013440013577239E-4</v>
      </c>
    </row>
    <row r="749" spans="5:6" x14ac:dyDescent="0.25">
      <c r="E749" t="s">
        <v>1241</v>
      </c>
      <c r="F749" s="8">
        <v>2.8692176263904175E-4</v>
      </c>
    </row>
    <row r="750" spans="5:6" x14ac:dyDescent="0.25">
      <c r="E750" t="s">
        <v>503</v>
      </c>
      <c r="F750" s="8">
        <v>2.8692176263904175E-4</v>
      </c>
    </row>
    <row r="751" spans="5:6" x14ac:dyDescent="0.25">
      <c r="E751" t="s">
        <v>1335</v>
      </c>
      <c r="F751" s="8">
        <v>2.8692176263904175E-4</v>
      </c>
    </row>
    <row r="752" spans="5:6" x14ac:dyDescent="0.25">
      <c r="E752" t="s">
        <v>4401</v>
      </c>
      <c r="F752" s="8">
        <v>2.8692176263904175E-4</v>
      </c>
    </row>
    <row r="753" spans="5:6" x14ac:dyDescent="0.25">
      <c r="E753" t="s">
        <v>5969</v>
      </c>
      <c r="F753" s="8">
        <v>2.8692176263904175E-4</v>
      </c>
    </row>
    <row r="754" spans="5:6" x14ac:dyDescent="0.25">
      <c r="E754" t="s">
        <v>6135</v>
      </c>
      <c r="F754" s="8">
        <v>2.7418199325545496E-4</v>
      </c>
    </row>
    <row r="755" spans="5:6" x14ac:dyDescent="0.25">
      <c r="E755" t="s">
        <v>4479</v>
      </c>
      <c r="F755" s="8">
        <v>2.7418199325545496E-4</v>
      </c>
    </row>
    <row r="756" spans="5:6" x14ac:dyDescent="0.25">
      <c r="E756" t="s">
        <v>634</v>
      </c>
      <c r="F756" s="8">
        <v>2.7418199325545496E-4</v>
      </c>
    </row>
    <row r="757" spans="5:6" x14ac:dyDescent="0.25">
      <c r="E757" t="s">
        <v>4009</v>
      </c>
      <c r="F757" s="8">
        <v>2.6919686610535581E-4</v>
      </c>
    </row>
    <row r="758" spans="5:6" x14ac:dyDescent="0.25">
      <c r="E758" t="s">
        <v>1218</v>
      </c>
      <c r="F758" s="8">
        <v>2.6919686610535581E-4</v>
      </c>
    </row>
    <row r="759" spans="5:6" x14ac:dyDescent="0.25">
      <c r="E759" t="s">
        <v>5750</v>
      </c>
      <c r="F759" s="8">
        <v>2.6919686610535581E-4</v>
      </c>
    </row>
    <row r="760" spans="5:6" x14ac:dyDescent="0.25">
      <c r="E760" t="s">
        <v>3814</v>
      </c>
      <c r="F760" s="8">
        <v>2.645440807652632E-4</v>
      </c>
    </row>
    <row r="761" spans="5:6" x14ac:dyDescent="0.25">
      <c r="E761" t="s">
        <v>5218</v>
      </c>
      <c r="F761" s="8">
        <v>2.645440807652632E-4</v>
      </c>
    </row>
    <row r="762" spans="5:6" x14ac:dyDescent="0.25">
      <c r="E762" t="s">
        <v>622</v>
      </c>
      <c r="F762" s="8">
        <v>2.645440807652632E-4</v>
      </c>
    </row>
    <row r="763" spans="5:6" x14ac:dyDescent="0.25">
      <c r="E763" t="s">
        <v>3868</v>
      </c>
      <c r="F763" s="8">
        <v>2.645440807652632E-4</v>
      </c>
    </row>
    <row r="764" spans="5:6" x14ac:dyDescent="0.25">
      <c r="E764" t="s">
        <v>2021</v>
      </c>
      <c r="F764" s="8">
        <v>2.645440807652632E-4</v>
      </c>
    </row>
    <row r="765" spans="5:6" x14ac:dyDescent="0.25">
      <c r="E765" t="s">
        <v>1257</v>
      </c>
      <c r="F765" s="8">
        <v>2.645440807652632E-4</v>
      </c>
    </row>
    <row r="766" spans="5:6" x14ac:dyDescent="0.25">
      <c r="E766" t="s">
        <v>1067</v>
      </c>
      <c r="F766" s="8">
        <v>2.645440807652632E-4</v>
      </c>
    </row>
    <row r="767" spans="5:6" x14ac:dyDescent="0.25">
      <c r="E767" t="s">
        <v>3874</v>
      </c>
      <c r="F767" s="8">
        <v>2.645440807652632E-4</v>
      </c>
    </row>
    <row r="768" spans="5:6" x14ac:dyDescent="0.25">
      <c r="E768" t="s">
        <v>572</v>
      </c>
      <c r="F768" s="8">
        <v>2.5822958637513758E-4</v>
      </c>
    </row>
    <row r="769" spans="5:6" x14ac:dyDescent="0.25">
      <c r="E769" t="s">
        <v>2679</v>
      </c>
      <c r="F769" s="8">
        <v>2.5822958637513758E-4</v>
      </c>
    </row>
    <row r="770" spans="5:6" x14ac:dyDescent="0.25">
      <c r="E770" t="s">
        <v>5846</v>
      </c>
      <c r="F770" s="8">
        <v>2.4925635750495907E-4</v>
      </c>
    </row>
    <row r="771" spans="5:6" x14ac:dyDescent="0.25">
      <c r="E771" t="s">
        <v>1119</v>
      </c>
      <c r="F771" s="8">
        <v>2.4925635750495907E-4</v>
      </c>
    </row>
    <row r="772" spans="5:6" x14ac:dyDescent="0.25">
      <c r="E772" t="s">
        <v>1200</v>
      </c>
      <c r="F772" s="8">
        <v>2.4925635750495907E-4</v>
      </c>
    </row>
    <row r="773" spans="5:6" x14ac:dyDescent="0.25">
      <c r="E773" t="s">
        <v>628</v>
      </c>
      <c r="F773" s="8">
        <v>2.4925635750495907E-4</v>
      </c>
    </row>
    <row r="774" spans="5:6" x14ac:dyDescent="0.25">
      <c r="E774" t="s">
        <v>807</v>
      </c>
      <c r="F774" s="8">
        <v>2.4227717949482021E-4</v>
      </c>
    </row>
    <row r="775" spans="5:6" x14ac:dyDescent="0.25">
      <c r="E775" t="s">
        <v>3296</v>
      </c>
      <c r="F775" s="8">
        <v>2.4227717949482021E-4</v>
      </c>
    </row>
    <row r="776" spans="5:6" x14ac:dyDescent="0.25">
      <c r="E776" t="s">
        <v>5463</v>
      </c>
      <c r="F776" s="8">
        <v>2.4227717949482021E-4</v>
      </c>
    </row>
    <row r="777" spans="5:6" x14ac:dyDescent="0.25">
      <c r="E777" t="s">
        <v>4661</v>
      </c>
      <c r="F777" s="8">
        <v>2.3828907777474084E-4</v>
      </c>
    </row>
    <row r="778" spans="5:6" x14ac:dyDescent="0.25">
      <c r="E778" t="s">
        <v>2826</v>
      </c>
      <c r="F778" s="8">
        <v>2.3828907777474084E-4</v>
      </c>
    </row>
    <row r="779" spans="5:6" x14ac:dyDescent="0.25">
      <c r="E779" t="s">
        <v>5634</v>
      </c>
      <c r="F779" s="8">
        <v>2.3828907777474084E-4</v>
      </c>
    </row>
    <row r="780" spans="5:6" x14ac:dyDescent="0.25">
      <c r="E780" t="s">
        <v>3375</v>
      </c>
      <c r="F780" s="8">
        <v>2.3828907777474084E-4</v>
      </c>
    </row>
    <row r="781" spans="5:6" x14ac:dyDescent="0.25">
      <c r="E781" t="s">
        <v>3096</v>
      </c>
      <c r="F781" s="8">
        <v>2.3795673596473422E-4</v>
      </c>
    </row>
    <row r="782" spans="5:6" x14ac:dyDescent="0.25">
      <c r="E782" t="s">
        <v>6027</v>
      </c>
      <c r="F782" s="8">
        <v>2.3795673596473422E-4</v>
      </c>
    </row>
    <row r="783" spans="5:6" x14ac:dyDescent="0.25">
      <c r="E783" t="s">
        <v>5026</v>
      </c>
      <c r="F783" s="8">
        <v>2.3795673596473422E-4</v>
      </c>
    </row>
    <row r="784" spans="5:6" x14ac:dyDescent="0.25">
      <c r="E784" t="s">
        <v>3534</v>
      </c>
      <c r="F784" s="8">
        <v>2.3795673596473422E-4</v>
      </c>
    </row>
    <row r="785" spans="5:6" x14ac:dyDescent="0.25">
      <c r="E785" t="s">
        <v>6129</v>
      </c>
      <c r="F785" s="8">
        <v>2.2045340063771933E-4</v>
      </c>
    </row>
    <row r="786" spans="5:6" x14ac:dyDescent="0.25">
      <c r="E786" t="s">
        <v>5364</v>
      </c>
      <c r="F786" s="8">
        <v>2.2045340063771933E-4</v>
      </c>
    </row>
    <row r="787" spans="5:6" x14ac:dyDescent="0.25">
      <c r="E787" t="s">
        <v>4844</v>
      </c>
      <c r="F787" s="8">
        <v>2.2045340063771933E-4</v>
      </c>
    </row>
    <row r="788" spans="5:6" x14ac:dyDescent="0.25">
      <c r="E788" t="s">
        <v>1891</v>
      </c>
      <c r="F788" s="8">
        <v>2.2045340063771933E-4</v>
      </c>
    </row>
    <row r="789" spans="5:6" x14ac:dyDescent="0.25">
      <c r="E789" t="s">
        <v>4141</v>
      </c>
      <c r="F789" s="8">
        <v>2.2045340063771933E-4</v>
      </c>
    </row>
    <row r="790" spans="5:6" x14ac:dyDescent="0.25">
      <c r="E790" t="s">
        <v>868</v>
      </c>
      <c r="F790" s="8">
        <v>2.1070470754419205E-4</v>
      </c>
    </row>
    <row r="791" spans="5:6" x14ac:dyDescent="0.25">
      <c r="E791" t="s">
        <v>967</v>
      </c>
      <c r="F791" s="8">
        <v>2.1070470754419205E-4</v>
      </c>
    </row>
    <row r="792" spans="5:6" x14ac:dyDescent="0.25">
      <c r="E792" t="s">
        <v>4338</v>
      </c>
      <c r="F792" s="8">
        <v>2.1070470754419205E-4</v>
      </c>
    </row>
    <row r="793" spans="5:6" x14ac:dyDescent="0.25">
      <c r="E793" t="s">
        <v>3518</v>
      </c>
      <c r="F793" s="8">
        <v>2.1070470754419205E-4</v>
      </c>
    </row>
    <row r="794" spans="5:6" x14ac:dyDescent="0.25">
      <c r="E794" t="s">
        <v>893</v>
      </c>
      <c r="F794" s="8">
        <v>2.1070470754419205E-4</v>
      </c>
    </row>
    <row r="795" spans="5:6" x14ac:dyDescent="0.25">
      <c r="E795" t="s">
        <v>3060</v>
      </c>
      <c r="F795" s="8">
        <v>2.1070470754419205E-4</v>
      </c>
    </row>
    <row r="796" spans="5:6" x14ac:dyDescent="0.25">
      <c r="E796" t="s">
        <v>2947</v>
      </c>
      <c r="F796" s="8">
        <v>2.1070470754419205E-4</v>
      </c>
    </row>
    <row r="797" spans="5:6" x14ac:dyDescent="0.25">
      <c r="E797" t="s">
        <v>4993</v>
      </c>
      <c r="F797" s="8">
        <v>2.1070470754419205E-4</v>
      </c>
    </row>
    <row r="798" spans="5:6" x14ac:dyDescent="0.25">
      <c r="E798" t="s">
        <v>2765</v>
      </c>
      <c r="F798" s="8">
        <v>2.1070470754419205E-4</v>
      </c>
    </row>
    <row r="799" spans="5:6" x14ac:dyDescent="0.25">
      <c r="E799" t="s">
        <v>4565</v>
      </c>
      <c r="F799" s="8">
        <v>1.984080605739474E-4</v>
      </c>
    </row>
    <row r="800" spans="5:6" x14ac:dyDescent="0.25">
      <c r="E800" t="s">
        <v>5280</v>
      </c>
      <c r="F800" s="8">
        <v>1.984080605739474E-4</v>
      </c>
    </row>
    <row r="801" spans="5:6" x14ac:dyDescent="0.25">
      <c r="E801" t="s">
        <v>2831</v>
      </c>
      <c r="F801" s="8">
        <v>1.984080605739474E-4</v>
      </c>
    </row>
    <row r="802" spans="5:6" x14ac:dyDescent="0.25">
      <c r="E802" t="s">
        <v>6003</v>
      </c>
      <c r="F802" s="8">
        <v>1.984080605739474E-4</v>
      </c>
    </row>
    <row r="803" spans="5:6" x14ac:dyDescent="0.25">
      <c r="E803" t="s">
        <v>6108</v>
      </c>
      <c r="F803" s="8">
        <v>1.984080605739474E-4</v>
      </c>
    </row>
    <row r="804" spans="5:6" x14ac:dyDescent="0.25">
      <c r="E804" t="s">
        <v>3897</v>
      </c>
      <c r="F804" s="8">
        <v>1.984080605739474E-4</v>
      </c>
    </row>
    <row r="805" spans="5:6" x14ac:dyDescent="0.25">
      <c r="E805" t="s">
        <v>3126</v>
      </c>
      <c r="F805" s="8">
        <v>1.984080605739474E-4</v>
      </c>
    </row>
    <row r="806" spans="5:6" x14ac:dyDescent="0.25">
      <c r="E806" t="s">
        <v>5928</v>
      </c>
      <c r="F806" s="8">
        <v>1.9829727997061185E-4</v>
      </c>
    </row>
    <row r="807" spans="5:6" x14ac:dyDescent="0.25">
      <c r="E807" t="s">
        <v>4778</v>
      </c>
      <c r="F807" s="8">
        <v>1.9829727997061185E-4</v>
      </c>
    </row>
    <row r="808" spans="5:6" x14ac:dyDescent="0.25">
      <c r="E808" t="s">
        <v>5092</v>
      </c>
      <c r="F808" s="8">
        <v>1.9741103514392757E-4</v>
      </c>
    </row>
    <row r="809" spans="5:6" x14ac:dyDescent="0.25">
      <c r="E809" t="s">
        <v>4627</v>
      </c>
      <c r="F809" s="8">
        <v>1.9741103514392757E-4</v>
      </c>
    </row>
    <row r="810" spans="5:6" x14ac:dyDescent="0.25">
      <c r="E810" t="s">
        <v>5744</v>
      </c>
      <c r="F810" s="8">
        <v>1.9741103514392757E-4</v>
      </c>
    </row>
    <row r="811" spans="5:6" x14ac:dyDescent="0.25">
      <c r="E811" t="s">
        <v>5213</v>
      </c>
      <c r="F811" s="8">
        <v>1.9741103514392757E-4</v>
      </c>
    </row>
    <row r="812" spans="5:6" x14ac:dyDescent="0.25">
      <c r="E812" t="s">
        <v>2571</v>
      </c>
      <c r="F812" s="8">
        <v>1.9741103514392757E-4</v>
      </c>
    </row>
    <row r="813" spans="5:6" x14ac:dyDescent="0.25">
      <c r="E813" t="s">
        <v>695</v>
      </c>
      <c r="F813" s="8">
        <v>1.9342293342384823E-4</v>
      </c>
    </row>
    <row r="814" spans="5:6" x14ac:dyDescent="0.25">
      <c r="E814" t="s">
        <v>2753</v>
      </c>
      <c r="F814" s="8">
        <v>1.9342293342384823E-4</v>
      </c>
    </row>
    <row r="815" spans="5:6" x14ac:dyDescent="0.25">
      <c r="E815" t="s">
        <v>2561</v>
      </c>
      <c r="F815" s="8">
        <v>1.9342293342384823E-4</v>
      </c>
    </row>
    <row r="816" spans="5:6" x14ac:dyDescent="0.25">
      <c r="E816" t="s">
        <v>3006</v>
      </c>
      <c r="F816" s="8">
        <v>1.9342293342384823E-4</v>
      </c>
    </row>
    <row r="817" spans="5:6" x14ac:dyDescent="0.25">
      <c r="E817" t="s">
        <v>1797</v>
      </c>
      <c r="F817" s="8">
        <v>1.9342293342384823E-4</v>
      </c>
    </row>
    <row r="818" spans="5:6" x14ac:dyDescent="0.25">
      <c r="E818" t="s">
        <v>1785</v>
      </c>
      <c r="F818" s="8">
        <v>1.9342293342384823E-4</v>
      </c>
    </row>
    <row r="819" spans="5:6" x14ac:dyDescent="0.25">
      <c r="E819" t="s">
        <v>4678</v>
      </c>
      <c r="F819" s="8">
        <v>1.9342293342384823E-4</v>
      </c>
    </row>
    <row r="820" spans="5:6" x14ac:dyDescent="0.25">
      <c r="E820" t="s">
        <v>2851</v>
      </c>
      <c r="F820" s="8">
        <v>1.9342293342384823E-4</v>
      </c>
    </row>
    <row r="821" spans="5:6" x14ac:dyDescent="0.25">
      <c r="E821" t="s">
        <v>4860</v>
      </c>
      <c r="F821" s="8">
        <v>1.9342293342384823E-4</v>
      </c>
    </row>
    <row r="822" spans="5:6" x14ac:dyDescent="0.25">
      <c r="E822" t="s">
        <v>3635</v>
      </c>
      <c r="F822" s="8">
        <v>1.9342293342384823E-4</v>
      </c>
    </row>
    <row r="823" spans="5:6" x14ac:dyDescent="0.25">
      <c r="E823" t="s">
        <v>3178</v>
      </c>
      <c r="F823" s="8">
        <v>1.9342293342384823E-4</v>
      </c>
    </row>
    <row r="824" spans="5:6" x14ac:dyDescent="0.25">
      <c r="E824" t="s">
        <v>5975</v>
      </c>
      <c r="F824" s="8">
        <v>1.8278799550363665E-4</v>
      </c>
    </row>
    <row r="825" spans="5:6" x14ac:dyDescent="0.25">
      <c r="E825" t="s">
        <v>1522</v>
      </c>
      <c r="F825" s="8">
        <v>1.8278799550363665E-4</v>
      </c>
    </row>
    <row r="826" spans="5:6" x14ac:dyDescent="0.25">
      <c r="E826" t="s">
        <v>2120</v>
      </c>
      <c r="F826" s="8">
        <v>1.8278799550363665E-4</v>
      </c>
    </row>
    <row r="827" spans="5:6" x14ac:dyDescent="0.25">
      <c r="E827" t="s">
        <v>4117</v>
      </c>
      <c r="F827" s="8">
        <v>1.8278799550363665E-4</v>
      </c>
    </row>
    <row r="828" spans="5:6" x14ac:dyDescent="0.25">
      <c r="E828" t="s">
        <v>4344</v>
      </c>
      <c r="F828" s="8">
        <v>1.8278799550363665E-4</v>
      </c>
    </row>
    <row r="829" spans="5:6" x14ac:dyDescent="0.25">
      <c r="E829" t="s">
        <v>5258</v>
      </c>
      <c r="F829" s="8">
        <v>1.8278799550363665E-4</v>
      </c>
    </row>
    <row r="830" spans="5:6" x14ac:dyDescent="0.25">
      <c r="E830" t="s">
        <v>2941</v>
      </c>
      <c r="F830" s="8">
        <v>1.8278799550363665E-4</v>
      </c>
    </row>
    <row r="831" spans="5:6" x14ac:dyDescent="0.25">
      <c r="E831" t="s">
        <v>2617</v>
      </c>
      <c r="F831" s="8">
        <v>1.7846755197355069E-4</v>
      </c>
    </row>
    <row r="832" spans="5:6" x14ac:dyDescent="0.25">
      <c r="E832" t="s">
        <v>3315</v>
      </c>
      <c r="F832" s="8">
        <v>1.7846755197355069E-4</v>
      </c>
    </row>
    <row r="833" spans="5:6" x14ac:dyDescent="0.25">
      <c r="E833" t="s">
        <v>1645</v>
      </c>
      <c r="F833" s="8">
        <v>1.7846755197355069E-4</v>
      </c>
    </row>
    <row r="834" spans="5:6" x14ac:dyDescent="0.25">
      <c r="E834" t="s">
        <v>5004</v>
      </c>
      <c r="F834" s="8">
        <v>1.7846755197355069E-4</v>
      </c>
    </row>
    <row r="835" spans="5:6" x14ac:dyDescent="0.25">
      <c r="E835" t="s">
        <v>3831</v>
      </c>
      <c r="F835" s="8">
        <v>1.7846755197355069E-4</v>
      </c>
    </row>
    <row r="836" spans="5:6" x14ac:dyDescent="0.25">
      <c r="E836" t="s">
        <v>5064</v>
      </c>
      <c r="F836" s="8">
        <v>1.7846755197355069E-4</v>
      </c>
    </row>
    <row r="837" spans="5:6" x14ac:dyDescent="0.25">
      <c r="E837" t="s">
        <v>728</v>
      </c>
      <c r="F837" s="8">
        <v>1.7846755197355069E-4</v>
      </c>
    </row>
    <row r="838" spans="5:6" x14ac:dyDescent="0.25">
      <c r="E838" t="s">
        <v>4367</v>
      </c>
      <c r="F838" s="8">
        <v>1.7846755197355069E-4</v>
      </c>
    </row>
    <row r="839" spans="5:6" x14ac:dyDescent="0.25">
      <c r="E839" t="s">
        <v>4458</v>
      </c>
      <c r="F839" s="8">
        <v>1.7215305758342504E-4</v>
      </c>
    </row>
    <row r="840" spans="5:6" x14ac:dyDescent="0.25">
      <c r="E840" t="s">
        <v>5701</v>
      </c>
      <c r="F840" s="8">
        <v>1.7215305758342504E-4</v>
      </c>
    </row>
    <row r="841" spans="5:6" x14ac:dyDescent="0.25">
      <c r="E841" t="s">
        <v>3879</v>
      </c>
      <c r="F841" s="8">
        <v>1.7215305758342504E-4</v>
      </c>
    </row>
    <row r="842" spans="5:6" x14ac:dyDescent="0.25">
      <c r="E842" t="s">
        <v>1050</v>
      </c>
      <c r="F842" s="8">
        <v>1.7215305758342504E-4</v>
      </c>
    </row>
    <row r="843" spans="5:6" x14ac:dyDescent="0.25">
      <c r="E843" t="s">
        <v>5301</v>
      </c>
      <c r="F843" s="8">
        <v>1.7215305758342504E-4</v>
      </c>
    </row>
    <row r="844" spans="5:6" x14ac:dyDescent="0.25">
      <c r="E844" t="s">
        <v>1102</v>
      </c>
      <c r="F844" s="8">
        <v>1.7215305758342504E-4</v>
      </c>
    </row>
    <row r="845" spans="5:6" x14ac:dyDescent="0.25">
      <c r="E845" t="s">
        <v>2034</v>
      </c>
      <c r="F845" s="8">
        <v>1.7215305758342504E-4</v>
      </c>
    </row>
    <row r="846" spans="5:6" x14ac:dyDescent="0.25">
      <c r="E846" t="s">
        <v>5048</v>
      </c>
      <c r="F846" s="8">
        <v>1.7215305758342504E-4</v>
      </c>
    </row>
    <row r="847" spans="5:6" x14ac:dyDescent="0.25">
      <c r="E847" t="s">
        <v>2087</v>
      </c>
      <c r="F847" s="8">
        <v>1.7215305758342504E-4</v>
      </c>
    </row>
    <row r="848" spans="5:6" x14ac:dyDescent="0.25">
      <c r="E848" t="s">
        <v>3415</v>
      </c>
      <c r="F848" s="8">
        <v>1.7215305758342504E-4</v>
      </c>
    </row>
    <row r="849" spans="5:6" x14ac:dyDescent="0.25">
      <c r="E849" t="s">
        <v>2064</v>
      </c>
      <c r="F849" s="8">
        <v>1.7215305758342504E-4</v>
      </c>
    </row>
    <row r="850" spans="5:6" x14ac:dyDescent="0.25">
      <c r="E850" t="s">
        <v>757</v>
      </c>
      <c r="F850" s="8">
        <v>1.7215305758342504E-4</v>
      </c>
    </row>
    <row r="851" spans="5:6" x14ac:dyDescent="0.25">
      <c r="E851" t="s">
        <v>3809</v>
      </c>
      <c r="F851" s="8">
        <v>1.7215305758342504E-4</v>
      </c>
    </row>
    <row r="852" spans="5:6" x14ac:dyDescent="0.25">
      <c r="E852" t="s">
        <v>5515</v>
      </c>
      <c r="F852" s="8">
        <v>1.7215305758342504E-4</v>
      </c>
    </row>
    <row r="853" spans="5:6" x14ac:dyDescent="0.25">
      <c r="E853" t="s">
        <v>2551</v>
      </c>
      <c r="F853" s="8">
        <v>1.7215305758342504E-4</v>
      </c>
    </row>
    <row r="854" spans="5:6" x14ac:dyDescent="0.25">
      <c r="E854" t="s">
        <v>2410</v>
      </c>
      <c r="F854" s="8">
        <v>1.6151811966321348E-4</v>
      </c>
    </row>
    <row r="855" spans="5:6" x14ac:dyDescent="0.25">
      <c r="E855" t="s">
        <v>3607</v>
      </c>
      <c r="F855" s="8">
        <v>1.6151811966321348E-4</v>
      </c>
    </row>
    <row r="856" spans="5:6" x14ac:dyDescent="0.25">
      <c r="E856" t="s">
        <v>5409</v>
      </c>
      <c r="F856" s="8">
        <v>1.6151811966321348E-4</v>
      </c>
    </row>
    <row r="857" spans="5:6" x14ac:dyDescent="0.25">
      <c r="E857" t="s">
        <v>722</v>
      </c>
      <c r="F857" s="8">
        <v>1.6151811966321348E-4</v>
      </c>
    </row>
    <row r="858" spans="5:6" x14ac:dyDescent="0.25">
      <c r="E858" t="s">
        <v>2017</v>
      </c>
      <c r="F858" s="8">
        <v>1.6151811966321348E-4</v>
      </c>
    </row>
    <row r="859" spans="5:6" x14ac:dyDescent="0.25">
      <c r="E859" t="s">
        <v>926</v>
      </c>
      <c r="F859" s="8">
        <v>1.6151811966321348E-4</v>
      </c>
    </row>
    <row r="860" spans="5:6" x14ac:dyDescent="0.25">
      <c r="E860" t="s">
        <v>2404</v>
      </c>
      <c r="F860" s="8">
        <v>1.6151811966321348E-4</v>
      </c>
    </row>
    <row r="861" spans="5:6" x14ac:dyDescent="0.25">
      <c r="E861" t="s">
        <v>3017</v>
      </c>
      <c r="F861" s="8">
        <v>1.5885938518316056E-4</v>
      </c>
    </row>
    <row r="862" spans="5:6" x14ac:dyDescent="0.25">
      <c r="E862" t="s">
        <v>862</v>
      </c>
      <c r="F862" s="8">
        <v>1.5885938518316056E-4</v>
      </c>
    </row>
    <row r="863" spans="5:6" x14ac:dyDescent="0.25">
      <c r="E863" t="s">
        <v>5468</v>
      </c>
      <c r="F863" s="8">
        <v>1.5885938518316056E-4</v>
      </c>
    </row>
    <row r="864" spans="5:6" x14ac:dyDescent="0.25">
      <c r="E864" t="s">
        <v>2605</v>
      </c>
      <c r="F864" s="8">
        <v>1.4955381450297545E-4</v>
      </c>
    </row>
    <row r="865" spans="5:6" x14ac:dyDescent="0.25">
      <c r="E865" t="s">
        <v>2195</v>
      </c>
      <c r="F865" s="8">
        <v>1.4955381450297545E-4</v>
      </c>
    </row>
    <row r="866" spans="5:6" x14ac:dyDescent="0.25">
      <c r="E866" t="s">
        <v>1212</v>
      </c>
      <c r="F866" s="8">
        <v>1.4955381450297545E-4</v>
      </c>
    </row>
    <row r="867" spans="5:6" x14ac:dyDescent="0.25">
      <c r="E867" t="s">
        <v>4582</v>
      </c>
      <c r="F867" s="8">
        <v>1.4955381450297545E-4</v>
      </c>
    </row>
    <row r="868" spans="5:6" x14ac:dyDescent="0.25">
      <c r="E868" t="s">
        <v>6049</v>
      </c>
      <c r="F868" s="8">
        <v>1.4955381450297545E-4</v>
      </c>
    </row>
    <row r="869" spans="5:6" x14ac:dyDescent="0.25">
      <c r="E869" t="s">
        <v>5656</v>
      </c>
      <c r="F869" s="8">
        <v>1.4955381450297545E-4</v>
      </c>
    </row>
    <row r="870" spans="5:6" x14ac:dyDescent="0.25">
      <c r="E870" t="s">
        <v>1667</v>
      </c>
      <c r="F870" s="8">
        <v>1.4955381450297545E-4</v>
      </c>
    </row>
    <row r="871" spans="5:6" x14ac:dyDescent="0.25">
      <c r="E871" t="s">
        <v>3149</v>
      </c>
      <c r="F871" s="8">
        <v>1.4955381450297545E-4</v>
      </c>
    </row>
    <row r="872" spans="5:6" x14ac:dyDescent="0.25">
      <c r="E872" t="s">
        <v>845</v>
      </c>
      <c r="F872" s="8">
        <v>1.4955381450297545E-4</v>
      </c>
    </row>
    <row r="873" spans="5:6" x14ac:dyDescent="0.25">
      <c r="E873" t="s">
        <v>3160</v>
      </c>
      <c r="F873" s="8">
        <v>1.322720403826316E-4</v>
      </c>
    </row>
    <row r="874" spans="5:6" x14ac:dyDescent="0.25">
      <c r="E874" t="s">
        <v>5963</v>
      </c>
      <c r="F874" s="8">
        <v>1.322720403826316E-4</v>
      </c>
    </row>
    <row r="875" spans="5:6" x14ac:dyDescent="0.25">
      <c r="E875" t="s">
        <v>2252</v>
      </c>
      <c r="F875" s="8">
        <v>1.322720403826316E-4</v>
      </c>
    </row>
    <row r="876" spans="5:6" x14ac:dyDescent="0.25">
      <c r="E876" t="s">
        <v>543</v>
      </c>
      <c r="F876" s="8">
        <v>1.322720403826316E-4</v>
      </c>
    </row>
    <row r="877" spans="5:6" x14ac:dyDescent="0.25">
      <c r="E877" t="s">
        <v>1029</v>
      </c>
      <c r="F877" s="8">
        <v>1.322720403826316E-4</v>
      </c>
    </row>
    <row r="878" spans="5:6" x14ac:dyDescent="0.25">
      <c r="E878" t="s">
        <v>2011</v>
      </c>
      <c r="F878" s="8">
        <v>1.322720403826316E-4</v>
      </c>
    </row>
    <row r="879" spans="5:6" x14ac:dyDescent="0.25">
      <c r="E879" t="s">
        <v>1988</v>
      </c>
      <c r="F879" s="8">
        <v>1.322720403826316E-4</v>
      </c>
    </row>
    <row r="880" spans="5:6" x14ac:dyDescent="0.25">
      <c r="E880" t="s">
        <v>3132</v>
      </c>
      <c r="F880" s="8">
        <v>1.322720403826316E-4</v>
      </c>
    </row>
    <row r="881" spans="5:6" x14ac:dyDescent="0.25">
      <c r="E881" t="s">
        <v>4732</v>
      </c>
      <c r="F881" s="8">
        <v>1.322720403826316E-4</v>
      </c>
    </row>
    <row r="882" spans="5:6" x14ac:dyDescent="0.25">
      <c r="E882" t="s">
        <v>3726</v>
      </c>
      <c r="F882" s="8">
        <v>1.322720403826316E-4</v>
      </c>
    </row>
    <row r="883" spans="5:6" x14ac:dyDescent="0.25">
      <c r="E883" t="s">
        <v>2611</v>
      </c>
      <c r="F883" s="8">
        <v>1.322720403826316E-4</v>
      </c>
    </row>
    <row r="884" spans="5:6" x14ac:dyDescent="0.25">
      <c r="E884" t="s">
        <v>1954</v>
      </c>
      <c r="F884" s="8">
        <v>1.322720403826316E-4</v>
      </c>
    </row>
    <row r="885" spans="5:6" x14ac:dyDescent="0.25">
      <c r="E885" t="s">
        <v>3952</v>
      </c>
      <c r="F885" s="8">
        <v>1.322720403826316E-4</v>
      </c>
    </row>
    <row r="886" spans="5:6" x14ac:dyDescent="0.25">
      <c r="E886" t="s">
        <v>5042</v>
      </c>
      <c r="F886" s="8">
        <v>1.322720403826316E-4</v>
      </c>
    </row>
    <row r="887" spans="5:6" x14ac:dyDescent="0.25">
      <c r="E887" t="s">
        <v>5997</v>
      </c>
      <c r="F887" s="8">
        <v>1.1897836798236711E-4</v>
      </c>
    </row>
    <row r="888" spans="5:6" x14ac:dyDescent="0.25">
      <c r="E888" t="s">
        <v>2913</v>
      </c>
      <c r="F888" s="8">
        <v>1.1897836798236711E-4</v>
      </c>
    </row>
    <row r="889" spans="5:6" x14ac:dyDescent="0.25">
      <c r="E889" t="s">
        <v>4725</v>
      </c>
      <c r="F889" s="8">
        <v>1.1897836798236711E-4</v>
      </c>
    </row>
    <row r="890" spans="5:6" x14ac:dyDescent="0.25">
      <c r="E890" t="s">
        <v>4165</v>
      </c>
      <c r="F890" s="8">
        <v>1.1897836798236711E-4</v>
      </c>
    </row>
    <row r="891" spans="5:6" x14ac:dyDescent="0.25">
      <c r="E891" t="s">
        <v>3023</v>
      </c>
      <c r="F891" s="8">
        <v>1.1897836798236711E-4</v>
      </c>
    </row>
    <row r="892" spans="5:6" x14ac:dyDescent="0.25">
      <c r="E892" t="s">
        <v>5491</v>
      </c>
      <c r="F892" s="8">
        <v>1.1897836798236711E-4</v>
      </c>
    </row>
    <row r="893" spans="5:6" x14ac:dyDescent="0.25">
      <c r="E893" t="s">
        <v>2093</v>
      </c>
      <c r="F893" s="8">
        <v>1.1897836798236711E-4</v>
      </c>
    </row>
    <row r="894" spans="5:6" x14ac:dyDescent="0.25">
      <c r="E894" t="s">
        <v>1634</v>
      </c>
      <c r="F894" s="8">
        <v>1.0535235377209603E-4</v>
      </c>
    </row>
    <row r="895" spans="5:6" x14ac:dyDescent="0.25">
      <c r="E895" t="s">
        <v>532</v>
      </c>
      <c r="F895" s="8">
        <v>1.0535235377209603E-4</v>
      </c>
    </row>
    <row r="896" spans="5:6" x14ac:dyDescent="0.25">
      <c r="E896" t="s">
        <v>5119</v>
      </c>
      <c r="F896" s="8">
        <v>1.0535235377209603E-4</v>
      </c>
    </row>
    <row r="897" spans="5:6" x14ac:dyDescent="0.25">
      <c r="E897" t="s">
        <v>1551</v>
      </c>
      <c r="F897" s="8">
        <v>9.8705517571963787E-5</v>
      </c>
    </row>
    <row r="898" spans="5:6" x14ac:dyDescent="0.25">
      <c r="E898" t="s">
        <v>4610</v>
      </c>
      <c r="F898" s="8">
        <v>9.6711466711924115E-5</v>
      </c>
    </row>
    <row r="899" spans="5:6" x14ac:dyDescent="0.25">
      <c r="E899" t="s">
        <v>5248</v>
      </c>
      <c r="F899" s="8">
        <v>9.6711466711924115E-5</v>
      </c>
    </row>
    <row r="900" spans="5:6" x14ac:dyDescent="0.25">
      <c r="E900" t="s">
        <v>3273</v>
      </c>
      <c r="F900" s="8">
        <v>9.1393997751818324E-5</v>
      </c>
    </row>
    <row r="901" spans="5:6" x14ac:dyDescent="0.25">
      <c r="E901" t="s">
        <v>4100</v>
      </c>
      <c r="F901" s="8">
        <v>8.6076528791712519E-5</v>
      </c>
    </row>
    <row r="902" spans="5:6" x14ac:dyDescent="0.25">
      <c r="E902" t="s">
        <v>5674</v>
      </c>
      <c r="F902" s="8">
        <v>8.0759059831606741E-5</v>
      </c>
    </row>
    <row r="903" spans="5:6" x14ac:dyDescent="0.25">
      <c r="E903" t="s">
        <v>3919</v>
      </c>
      <c r="F903" s="8">
        <v>8.0759059831606741E-5</v>
      </c>
    </row>
    <row r="904" spans="5:6" x14ac:dyDescent="0.25">
      <c r="E904" t="s">
        <v>3786</v>
      </c>
      <c r="F904" s="8">
        <v>7.942969259158028E-5</v>
      </c>
    </row>
    <row r="905" spans="5:6" x14ac:dyDescent="0.25">
      <c r="E905" t="s">
        <v>921</v>
      </c>
      <c r="F905" s="8">
        <v>7.942969259158028E-5</v>
      </c>
    </row>
    <row r="906" spans="5:6" x14ac:dyDescent="0.25">
      <c r="E906" t="s">
        <v>1830</v>
      </c>
      <c r="F906" s="8">
        <v>7.942969259158028E-5</v>
      </c>
    </row>
    <row r="907" spans="5:6" x14ac:dyDescent="0.25">
      <c r="E907" t="s">
        <v>5587</v>
      </c>
      <c r="F907" s="8">
        <v>7.942969259158028E-5</v>
      </c>
    </row>
    <row r="908" spans="5:6" x14ac:dyDescent="0.25">
      <c r="E908" t="s">
        <v>1500</v>
      </c>
      <c r="F908" s="8">
        <v>6.6136020191315801E-5</v>
      </c>
    </row>
    <row r="909" spans="5:6" x14ac:dyDescent="0.25">
      <c r="E909" t="s">
        <v>1040</v>
      </c>
      <c r="F909" s="8">
        <v>6.6136020191315801E-5</v>
      </c>
    </row>
    <row r="910" spans="5:6" x14ac:dyDescent="0.25">
      <c r="E910" t="s">
        <v>4518</v>
      </c>
      <c r="F910" s="8">
        <v>6.6136020191315801E-5</v>
      </c>
    </row>
    <row r="911" spans="5:6" x14ac:dyDescent="0.25">
      <c r="E911" t="s">
        <v>5178</v>
      </c>
      <c r="F911" s="8">
        <v>6.6136020191315801E-5</v>
      </c>
    </row>
    <row r="912" spans="5:6" x14ac:dyDescent="0.25">
      <c r="E912" t="s">
        <v>1902</v>
      </c>
      <c r="F912" s="8">
        <v>6.6136020191315801E-5</v>
      </c>
    </row>
    <row r="913" spans="5:6" x14ac:dyDescent="0.25">
      <c r="E913" t="s">
        <v>874</v>
      </c>
      <c r="F913" s="8">
        <v>6.6136020191315801E-5</v>
      </c>
    </row>
    <row r="914" spans="5:6" x14ac:dyDescent="0.25">
      <c r="E914" t="s">
        <v>5957</v>
      </c>
      <c r="F914" s="8">
        <v>5.9489183991183555E-5</v>
      </c>
    </row>
    <row r="915" spans="5:6" x14ac:dyDescent="0.25">
      <c r="E915" t="s">
        <v>5521</v>
      </c>
      <c r="F915" s="8">
        <v>5.9489183991183555E-5</v>
      </c>
    </row>
    <row r="916" spans="5:6" x14ac:dyDescent="0.25">
      <c r="E916" t="s">
        <v>1352</v>
      </c>
      <c r="F916" s="8">
        <v>5.9489183991183555E-5</v>
      </c>
    </row>
    <row r="917" spans="5:6" x14ac:dyDescent="0.25">
      <c r="E917" t="s">
        <v>6218</v>
      </c>
      <c r="F917" s="8">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Q1001"/>
  <sheetViews>
    <sheetView topLeftCell="A2" zoomScaleNormal="100" workbookViewId="0">
      <selection activeCell="C987" sqref="C987"/>
    </sheetView>
  </sheetViews>
  <sheetFormatPr defaultRowHeight="15" x14ac:dyDescent="0.25"/>
  <cols>
    <col min="1" max="1" width="16.5703125" bestFit="1" customWidth="1"/>
    <col min="2" max="2" width="12.85546875" customWidth="1"/>
    <col min="3" max="3" width="17.42578125" bestFit="1" customWidth="1"/>
    <col min="4" max="4" width="12.28515625" customWidth="1"/>
    <col min="5" max="5" width="10.85546875" customWidth="1"/>
    <col min="6" max="6" width="23.7109375" bestFit="1" customWidth="1"/>
    <col min="7" max="7" width="39.42578125" bestFit="1" customWidth="1"/>
    <col min="8" max="8" width="15.42578125" bestFit="1" customWidth="1"/>
    <col min="9" max="9" width="13.85546875" customWidth="1"/>
    <col min="10" max="10" width="12.7109375" customWidth="1"/>
    <col min="11" max="11" width="6.7109375" customWidth="1"/>
    <col min="12" max="12" width="11.85546875" customWidth="1"/>
    <col min="13" max="13" width="8.7109375" customWidth="1"/>
    <col min="14" max="14" width="18.42578125" customWidth="1"/>
    <col min="15" max="15" width="18.85546875" customWidth="1"/>
    <col min="16" max="16" width="14" bestFit="1" customWidth="1"/>
    <col min="17" max="17" width="22" style="5" customWidth="1"/>
  </cols>
  <sheetData>
    <row r="1" spans="1:17"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c r="Q1" s="11" t="s">
        <v>16</v>
      </c>
    </row>
    <row r="2" spans="1:17" x14ac:dyDescent="0.25">
      <c r="A2" s="2" t="s">
        <v>490</v>
      </c>
      <c r="B2" s="3">
        <v>43713</v>
      </c>
      <c r="C2" s="2" t="s">
        <v>491</v>
      </c>
      <c r="D2" t="s">
        <v>6138</v>
      </c>
      <c r="E2" s="2">
        <v>2</v>
      </c>
      <c r="F2" s="2" t="str">
        <f>_xlfn.XLOOKUP(C2,customers!$A$1:$A$1001,customers!$B$1:$B$1001,,0)</f>
        <v>Aloisia Allner</v>
      </c>
      <c r="G2" s="2" t="str">
        <f>IF(_xlfn.XLOOKUP(C2,customers!$A$1:$A$1001,customers!$C$1:$C$1001, ,0)=0,"",_xlfn.XLOOKUP(C2,customers!$A$1:$A$1001,customers!$C$1:$C$1001, ,0))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 = "Lib","Liberica"))))</f>
        <v>Robusta</v>
      </c>
      <c r="O2" t="str">
        <f>IF(J2="L","Light",IF(J2="M","Medium",IF(J2="D","Dark")))</f>
        <v>Medium</v>
      </c>
      <c r="P2" t="str">
        <f>_xlfn.XLOOKUP(Orders[[#This Row],[Customer ID]],customers!$A$1:$A$1001,customers!$I$1:$I$1001,,0)</f>
        <v>Yes</v>
      </c>
      <c r="Q2" s="5">
        <f>_xlfn.XLOOKUP(Orders[[#This Row],[Product ID]],products!$A$1:$A$49,products!$G$1:$G$49) *Orders[[#This Row],[Quantity]]</f>
        <v>1.194</v>
      </c>
    </row>
    <row r="3" spans="1:17" x14ac:dyDescent="0.25">
      <c r="A3" s="2" t="s">
        <v>490</v>
      </c>
      <c r="B3" s="3">
        <v>43713</v>
      </c>
      <c r="C3" s="2" t="s">
        <v>491</v>
      </c>
      <c r="D3" t="s">
        <v>6139</v>
      </c>
      <c r="E3" s="2">
        <v>5</v>
      </c>
      <c r="F3" s="2" t="str">
        <f>_xlfn.XLOOKUP(C3,customers!$A$1:$A$1001,customers!$B$1:$B$1001,,0)</f>
        <v>Aloisia Allner</v>
      </c>
      <c r="G3" s="2" t="str">
        <f>IF(_xlfn.XLOOKUP(C3,customers!$A$1:$A$1001,customers!$C$1:$C$1001, ,0)=0,"",_xlfn.XLOOKUP(C3,customers!$A$1:$A$1001,customers!$C$1:$C$1001, ,0))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 = "Lib","Liberica"))))</f>
        <v>Excelsa</v>
      </c>
      <c r="O3" t="str">
        <f t="shared" ref="O3:O66" si="2">IF(J3="L","Light",IF(J3="M","Medium",IF(J3="D","Dark")))</f>
        <v>Medium</v>
      </c>
      <c r="P3" t="str">
        <f>_xlfn.XLOOKUP(Orders[[#This Row],[Customer ID]],customers!$A$1:$A$1001,customers!$I$1:$I$1001,,0)</f>
        <v>Yes</v>
      </c>
      <c r="Q3" s="5">
        <f>_xlfn.XLOOKUP(Orders[[#This Row],[Product ID]],products!$A$1:$A$49,products!$G$1:$G$49) *Orders[[#This Row],[Quantity]]</f>
        <v>4.5374999999999996</v>
      </c>
    </row>
    <row r="4" spans="1:17" x14ac:dyDescent="0.25">
      <c r="A4" s="2" t="s">
        <v>501</v>
      </c>
      <c r="B4" s="3">
        <v>44364</v>
      </c>
      <c r="C4" s="2" t="s">
        <v>502</v>
      </c>
      <c r="D4" t="s">
        <v>6140</v>
      </c>
      <c r="E4" s="2">
        <v>1</v>
      </c>
      <c r="F4" s="2" t="str">
        <f>_xlfn.XLOOKUP(C4,customers!$A$1:$A$1001,customers!$B$1:$B$1001,,0)</f>
        <v>Jami Redholes</v>
      </c>
      <c r="G4" s="2" t="str">
        <f>IF(_xlfn.XLOOKUP(C4,customers!$A$1:$A$1001,customers!$C$1:$C$1001, ,0)=0,"",_xlfn.XLOOKUP(C4,customers!$A$1:$A$1001,customers!$C$1:$C$1001, ,0))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c r="Q4" s="5">
        <f>_xlfn.XLOOKUP(Orders[[#This Row],[Product ID]],products!$A$1:$A$49,products!$G$1:$G$49) *Orders[[#This Row],[Quantity]]</f>
        <v>1.1655</v>
      </c>
    </row>
    <row r="5" spans="1:17" x14ac:dyDescent="0.25">
      <c r="A5" s="2" t="s">
        <v>512</v>
      </c>
      <c r="B5" s="3">
        <v>44392</v>
      </c>
      <c r="C5" s="2" t="s">
        <v>513</v>
      </c>
      <c r="D5" t="s">
        <v>6141</v>
      </c>
      <c r="E5" s="2">
        <v>2</v>
      </c>
      <c r="F5" s="2" t="str">
        <f>_xlfn.XLOOKUP(C5,customers!$A$1:$A$1001,customers!$B$1:$B$1001,,0)</f>
        <v>Christoffer O' Shea</v>
      </c>
      <c r="G5" s="2" t="str">
        <f>IF(_xlfn.XLOOKUP(C5,customers!$A$1:$A$1001,customers!$C$1:$C$1001, ,0)=0,"",_xlfn.XLOOKUP(C5,customers!$A$1:$A$1001,customers!$C$1:$C$1001, ,0))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c r="Q5" s="5">
        <f>_xlfn.XLOOKUP(Orders[[#This Row],[Product ID]],products!$A$1:$A$49,products!$G$1:$G$49) *Orders[[#This Row],[Quantity]]</f>
        <v>3.0249999999999999</v>
      </c>
    </row>
    <row r="6" spans="1:17" x14ac:dyDescent="0.25">
      <c r="A6" s="2" t="s">
        <v>512</v>
      </c>
      <c r="B6" s="3">
        <v>44392</v>
      </c>
      <c r="C6" s="2" t="s">
        <v>513</v>
      </c>
      <c r="D6" t="s">
        <v>6142</v>
      </c>
      <c r="E6" s="2">
        <v>2</v>
      </c>
      <c r="F6" s="2" t="str">
        <f>_xlfn.XLOOKUP(C6,customers!$A$1:$A$1001,customers!$B$1:$B$1001,,0)</f>
        <v>Christoffer O' Shea</v>
      </c>
      <c r="G6" s="2" t="str">
        <f>IF(_xlfn.XLOOKUP(C6,customers!$A$1:$A$1001,customers!$C$1:$C$1001, ,0)=0,"",_xlfn.XLOOKUP(C6,customers!$A$1:$A$1001,customers!$C$1:$C$1001, ,0))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c r="Q6" s="5">
        <f>_xlfn.XLOOKUP(Orders[[#This Row],[Product ID]],products!$A$1:$A$49,products!$G$1:$G$49) *Orders[[#This Row],[Quantity]]</f>
        <v>3.2981999999999996</v>
      </c>
    </row>
    <row r="7" spans="1:17" x14ac:dyDescent="0.25">
      <c r="A7" s="2" t="s">
        <v>519</v>
      </c>
      <c r="B7" s="3">
        <v>44412</v>
      </c>
      <c r="C7" s="2" t="s">
        <v>520</v>
      </c>
      <c r="D7" t="s">
        <v>6143</v>
      </c>
      <c r="E7" s="2">
        <v>3</v>
      </c>
      <c r="F7" s="2" t="str">
        <f>_xlfn.XLOOKUP(C7,customers!$A$1:$A$1001,customers!$B$1:$B$1001,,0)</f>
        <v>Beryle Cottier</v>
      </c>
      <c r="G7" s="2" t="str">
        <f>IF(_xlfn.XLOOKUP(C7,customers!$A$1:$A$1001,customers!$C$1:$C$1001, ,0)=0,"",_xlfn.XLOOKUP(C7,customers!$A$1:$A$1001,customers!$C$1:$C$1001, ,0))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c r="Q7" s="5">
        <f>_xlfn.XLOOKUP(Orders[[#This Row],[Product ID]],products!$A$1:$A$49,products!$G$1:$G$49) *Orders[[#This Row],[Quantity]]</f>
        <v>5.0504999999999995</v>
      </c>
    </row>
    <row r="8" spans="1:17" x14ac:dyDescent="0.25">
      <c r="A8" s="2" t="s">
        <v>524</v>
      </c>
      <c r="B8" s="3">
        <v>44582</v>
      </c>
      <c r="C8" s="2" t="s">
        <v>525</v>
      </c>
      <c r="D8" t="s">
        <v>6144</v>
      </c>
      <c r="E8" s="2">
        <v>3</v>
      </c>
      <c r="F8" s="2" t="str">
        <f>_xlfn.XLOOKUP(C8,customers!$A$1:$A$1001,customers!$B$1:$B$1001,,0)</f>
        <v>Shaylynn Lobe</v>
      </c>
      <c r="G8" s="2" t="str">
        <f>IF(_xlfn.XLOOKUP(C8,customers!$A$1:$A$1001,customers!$C$1:$C$1001, ,0)=0,"",_xlfn.XLOOKUP(C8,customers!$A$1:$A$1001,customers!$C$1:$C$1001, ,0))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c r="Q8" s="5">
        <f>_xlfn.XLOOKUP(Orders[[#This Row],[Product ID]],products!$A$1:$A$49,products!$G$1:$G$49) *Orders[[#This Row],[Quantity]]</f>
        <v>2.4057000000000004</v>
      </c>
    </row>
    <row r="9" spans="1:17" x14ac:dyDescent="0.25">
      <c r="A9" s="2" t="s">
        <v>530</v>
      </c>
      <c r="B9" s="3">
        <v>44701</v>
      </c>
      <c r="C9" s="2" t="s">
        <v>531</v>
      </c>
      <c r="D9" t="s">
        <v>6145</v>
      </c>
      <c r="E9" s="2">
        <v>1</v>
      </c>
      <c r="F9" s="2" t="str">
        <f>_xlfn.XLOOKUP(C9,customers!$A$1:$A$1001,customers!$B$1:$B$1001,,0)</f>
        <v>Melvin Wharfe</v>
      </c>
      <c r="G9" s="2" t="str">
        <f>IF(_xlfn.XLOOKUP(C9,customers!$A$1:$A$1001,customers!$C$1:$C$1001, ,0)=0,"",_xlfn.XLOOKUP(C9,customers!$A$1:$A$1001,customers!$C$1:$C$1001, ,0))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c r="Q9" s="5">
        <f>_xlfn.XLOOKUP(Orders[[#This Row],[Product ID]],products!$A$1:$A$49,products!$G$1:$G$49) *Orders[[#This Row],[Quantity]]</f>
        <v>0.61814999999999998</v>
      </c>
    </row>
    <row r="10" spans="1:17" x14ac:dyDescent="0.25">
      <c r="A10" s="2" t="s">
        <v>535</v>
      </c>
      <c r="B10" s="3">
        <v>43467</v>
      </c>
      <c r="C10" s="2" t="s">
        <v>536</v>
      </c>
      <c r="D10" t="s">
        <v>6146</v>
      </c>
      <c r="E10" s="2">
        <v>3</v>
      </c>
      <c r="F10" s="2" t="str">
        <f>_xlfn.XLOOKUP(C10,customers!$A$1:$A$1001,customers!$B$1:$B$1001,,0)</f>
        <v>Guthrey Petracci</v>
      </c>
      <c r="G10" s="2" t="str">
        <f>IF(_xlfn.XLOOKUP(C10,customers!$A$1:$A$1001,customers!$C$1:$C$1001, ,0)=0,"",_xlfn.XLOOKUP(C10,customers!$A$1:$A$1001,customers!$C$1:$C$1001, ,0))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c r="Q10" s="5">
        <f>_xlfn.XLOOKUP(Orders[[#This Row],[Product ID]],products!$A$1:$A$49,products!$G$1:$G$49) *Orders[[#This Row],[Quantity]]</f>
        <v>1.0745999999999998</v>
      </c>
    </row>
    <row r="11" spans="1:17" x14ac:dyDescent="0.25">
      <c r="A11" s="2" t="s">
        <v>541</v>
      </c>
      <c r="B11" s="3">
        <v>43713</v>
      </c>
      <c r="C11" s="2" t="s">
        <v>542</v>
      </c>
      <c r="D11" t="s">
        <v>6146</v>
      </c>
      <c r="E11" s="2">
        <v>1</v>
      </c>
      <c r="F11" s="2" t="str">
        <f>_xlfn.XLOOKUP(C11,customers!$A$1:$A$1001,customers!$B$1:$B$1001,,0)</f>
        <v>Rodger Raven</v>
      </c>
      <c r="G11" s="2" t="str">
        <f>IF(_xlfn.XLOOKUP(C11,customers!$A$1:$A$1001,customers!$C$1:$C$1001, ,0)=0,"",_xlfn.XLOOKUP(C11,customers!$A$1:$A$1001,customers!$C$1:$C$1001, ,0))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c r="Q11" s="5">
        <f>_xlfn.XLOOKUP(Orders[[#This Row],[Product ID]],products!$A$1:$A$49,products!$G$1:$G$49) *Orders[[#This Row],[Quantity]]</f>
        <v>0.35819999999999996</v>
      </c>
    </row>
    <row r="12" spans="1:17" x14ac:dyDescent="0.25">
      <c r="A12" s="2" t="s">
        <v>547</v>
      </c>
      <c r="B12" s="3">
        <v>44263</v>
      </c>
      <c r="C12" s="2" t="s">
        <v>548</v>
      </c>
      <c r="D12" t="s">
        <v>6147</v>
      </c>
      <c r="E12" s="2">
        <v>4</v>
      </c>
      <c r="F12" s="2" t="str">
        <f>_xlfn.XLOOKUP(C12,customers!$A$1:$A$1001,customers!$B$1:$B$1001,,0)</f>
        <v>Ferrell Ferber</v>
      </c>
      <c r="G12" s="2" t="str">
        <f>IF(_xlfn.XLOOKUP(C12,customers!$A$1:$A$1001,customers!$C$1:$C$1001, ,0)=0,"",_xlfn.XLOOKUP(C12,customers!$A$1:$A$1001,customers!$C$1:$C$1001, ,0))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c r="Q12" s="5">
        <f>_xlfn.XLOOKUP(Orders[[#This Row],[Product ID]],products!$A$1:$A$49,products!$G$1:$G$49) *Orders[[#This Row],[Quantity]]</f>
        <v>3.5819999999999994</v>
      </c>
    </row>
    <row r="13" spans="1:17" x14ac:dyDescent="0.25">
      <c r="A13" s="2" t="s">
        <v>553</v>
      </c>
      <c r="B13" s="3">
        <v>44132</v>
      </c>
      <c r="C13" s="2" t="s">
        <v>554</v>
      </c>
      <c r="D13" t="s">
        <v>6148</v>
      </c>
      <c r="E13" s="2">
        <v>5</v>
      </c>
      <c r="F13" s="2" t="str">
        <f>_xlfn.XLOOKUP(C13,customers!$A$1:$A$1001,customers!$B$1:$B$1001,,0)</f>
        <v>Duky Phizackerly</v>
      </c>
      <c r="G13" s="2" t="str">
        <f>IF(_xlfn.XLOOKUP(C13,customers!$A$1:$A$1001,customers!$C$1:$C$1001, ,0)=0,"",_xlfn.XLOOKUP(C13,customers!$A$1:$A$1001,customers!$C$1:$C$1001, ,0))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c r="Q13" s="5">
        <f>_xlfn.XLOOKUP(Orders[[#This Row],[Product ID]],products!$A$1:$A$49,products!$G$1:$G$49) *Orders[[#This Row],[Quantity]]</f>
        <v>18.785249999999998</v>
      </c>
    </row>
    <row r="14" spans="1:17" x14ac:dyDescent="0.25">
      <c r="A14" s="2" t="s">
        <v>559</v>
      </c>
      <c r="B14" s="3">
        <v>44744</v>
      </c>
      <c r="C14" s="2" t="s">
        <v>560</v>
      </c>
      <c r="D14" t="s">
        <v>6138</v>
      </c>
      <c r="E14" s="2">
        <v>5</v>
      </c>
      <c r="F14" s="2" t="str">
        <f>_xlfn.XLOOKUP(C14,customers!$A$1:$A$1001,customers!$B$1:$B$1001,,0)</f>
        <v>Rosaleen Scholar</v>
      </c>
      <c r="G14" s="2" t="str">
        <f>IF(_xlfn.XLOOKUP(C14,customers!$A$1:$A$1001,customers!$C$1:$C$1001, ,0)=0,"",_xlfn.XLOOKUP(C14,customers!$A$1:$A$1001,customers!$C$1:$C$1001, ,0))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c r="Q14" s="5">
        <f>_xlfn.XLOOKUP(Orders[[#This Row],[Product ID]],products!$A$1:$A$49,products!$G$1:$G$49) *Orders[[#This Row],[Quantity]]</f>
        <v>2.9849999999999999</v>
      </c>
    </row>
    <row r="15" spans="1:17" x14ac:dyDescent="0.25">
      <c r="A15" s="2" t="s">
        <v>565</v>
      </c>
      <c r="B15" s="3">
        <v>43973</v>
      </c>
      <c r="C15" s="2" t="s">
        <v>566</v>
      </c>
      <c r="D15" t="s">
        <v>6149</v>
      </c>
      <c r="E15" s="2">
        <v>2</v>
      </c>
      <c r="F15" s="2" t="str">
        <f>_xlfn.XLOOKUP(C15,customers!$A$1:$A$1001,customers!$B$1:$B$1001,,0)</f>
        <v>Terence Vanyutin</v>
      </c>
      <c r="G15" s="2" t="str">
        <f>IF(_xlfn.XLOOKUP(C15,customers!$A$1:$A$1001,customers!$C$1:$C$1001, ,0)=0,"",_xlfn.XLOOKUP(C15,customers!$A$1:$A$1001,customers!$C$1:$C$1001, ,0))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c r="Q15" s="5">
        <f>_xlfn.XLOOKUP(Orders[[#This Row],[Product ID]],products!$A$1:$A$49,products!$G$1:$G$49) *Orders[[#This Row],[Quantity]]</f>
        <v>2.4701999999999997</v>
      </c>
    </row>
    <row r="16" spans="1:17" x14ac:dyDescent="0.25">
      <c r="A16" s="2" t="s">
        <v>570</v>
      </c>
      <c r="B16" s="3">
        <v>44656</v>
      </c>
      <c r="C16" s="2" t="s">
        <v>571</v>
      </c>
      <c r="D16" t="s">
        <v>6150</v>
      </c>
      <c r="E16" s="2">
        <v>3</v>
      </c>
      <c r="F16" s="2" t="str">
        <f>_xlfn.XLOOKUP(C16,customers!$A$1:$A$1001,customers!$B$1:$B$1001,,0)</f>
        <v>Patrice Trobe</v>
      </c>
      <c r="G16" s="2" t="str">
        <f>IF(_xlfn.XLOOKUP(C16,customers!$A$1:$A$1001,customers!$C$1:$C$1001, ,0)=0,"",_xlfn.XLOOKUP(C16,customers!$A$1:$A$1001,customers!$C$1:$C$1001, ,0))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c r="Q16" s="5">
        <f>_xlfn.XLOOKUP(Orders[[#This Row],[Product ID]],products!$A$1:$A$49,products!$G$1:$G$49) *Orders[[#This Row],[Quantity]]</f>
        <v>1.51515</v>
      </c>
    </row>
    <row r="17" spans="1:17" x14ac:dyDescent="0.25">
      <c r="A17" s="2" t="s">
        <v>576</v>
      </c>
      <c r="B17" s="3">
        <v>44719</v>
      </c>
      <c r="C17" s="2" t="s">
        <v>577</v>
      </c>
      <c r="D17" t="s">
        <v>6151</v>
      </c>
      <c r="E17" s="2">
        <v>5</v>
      </c>
      <c r="F17" s="2" t="str">
        <f>_xlfn.XLOOKUP(C17,customers!$A$1:$A$1001,customers!$B$1:$B$1001,,0)</f>
        <v>Llywellyn Oscroft</v>
      </c>
      <c r="G17" s="2" t="str">
        <f>IF(_xlfn.XLOOKUP(C17,customers!$A$1:$A$1001,customers!$C$1:$C$1001, ,0)=0,"",_xlfn.XLOOKUP(C17,customers!$A$1:$A$1001,customers!$C$1:$C$1001, ,0))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c r="Q17" s="5">
        <f>_xlfn.XLOOKUP(Orders[[#This Row],[Product ID]],products!$A$1:$A$49,products!$G$1:$G$49) *Orders[[#This Row],[Quantity]]</f>
        <v>6.865499999999999</v>
      </c>
    </row>
    <row r="18" spans="1:17" x14ac:dyDescent="0.25">
      <c r="A18" s="2" t="s">
        <v>581</v>
      </c>
      <c r="B18" s="3">
        <v>43544</v>
      </c>
      <c r="C18" s="2" t="s">
        <v>582</v>
      </c>
      <c r="D18" t="s">
        <v>6152</v>
      </c>
      <c r="E18" s="2">
        <v>6</v>
      </c>
      <c r="F18" s="2" t="str">
        <f>_xlfn.XLOOKUP(C18,customers!$A$1:$A$1001,customers!$B$1:$B$1001,,0)</f>
        <v>Minni Alabaster</v>
      </c>
      <c r="G18" s="2" t="str">
        <f>IF(_xlfn.XLOOKUP(C18,customers!$A$1:$A$1001,customers!$C$1:$C$1001, ,0)=0,"",_xlfn.XLOOKUP(C18,customers!$A$1:$A$1001,customers!$C$1:$C$1001, ,0))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c r="Q18" s="5">
        <f>_xlfn.XLOOKUP(Orders[[#This Row],[Product ID]],products!$A$1:$A$49,products!$G$1:$G$49) *Orders[[#This Row],[Quantity]]</f>
        <v>1.8224999999999998</v>
      </c>
    </row>
    <row r="19" spans="1:17" x14ac:dyDescent="0.25">
      <c r="A19" s="2" t="s">
        <v>587</v>
      </c>
      <c r="B19" s="3">
        <v>43757</v>
      </c>
      <c r="C19" s="2" t="s">
        <v>588</v>
      </c>
      <c r="D19" t="s">
        <v>6140</v>
      </c>
      <c r="E19" s="2">
        <v>6</v>
      </c>
      <c r="F19" s="2" t="str">
        <f>_xlfn.XLOOKUP(C19,customers!$A$1:$A$1001,customers!$B$1:$B$1001,,0)</f>
        <v>Rhianon Broxup</v>
      </c>
      <c r="G19" s="2" t="str">
        <f>IF(_xlfn.XLOOKUP(C19,customers!$A$1:$A$1001,customers!$C$1:$C$1001, ,0)=0,"",_xlfn.XLOOKUP(C19,customers!$A$1:$A$1001,customers!$C$1:$C$1001, ,0))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c r="Q19" s="5">
        <f>_xlfn.XLOOKUP(Orders[[#This Row],[Product ID]],products!$A$1:$A$49,products!$G$1:$G$49) *Orders[[#This Row],[Quantity]]</f>
        <v>6.9930000000000003</v>
      </c>
    </row>
    <row r="20" spans="1:17" x14ac:dyDescent="0.25">
      <c r="A20" s="2" t="s">
        <v>593</v>
      </c>
      <c r="B20" s="3">
        <v>43629</v>
      </c>
      <c r="C20" s="2" t="s">
        <v>594</v>
      </c>
      <c r="D20" t="s">
        <v>6149</v>
      </c>
      <c r="E20" s="2">
        <v>4</v>
      </c>
      <c r="F20" s="2" t="str">
        <f>_xlfn.XLOOKUP(C20,customers!$A$1:$A$1001,customers!$B$1:$B$1001,,0)</f>
        <v>Pall Redford</v>
      </c>
      <c r="G20" s="2" t="str">
        <f>IF(_xlfn.XLOOKUP(C20,customers!$A$1:$A$1001,customers!$C$1:$C$1001, ,0)=0,"",_xlfn.XLOOKUP(C20,customers!$A$1:$A$1001,customers!$C$1:$C$1001, ,0))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c r="Q20" s="5">
        <f>_xlfn.XLOOKUP(Orders[[#This Row],[Product ID]],products!$A$1:$A$49,products!$G$1:$G$49) *Orders[[#This Row],[Quantity]]</f>
        <v>4.9403999999999995</v>
      </c>
    </row>
    <row r="21" spans="1:17" x14ac:dyDescent="0.25">
      <c r="A21" s="2" t="s">
        <v>598</v>
      </c>
      <c r="B21" s="3">
        <v>44169</v>
      </c>
      <c r="C21" s="2" t="s">
        <v>599</v>
      </c>
      <c r="D21" t="s">
        <v>6152</v>
      </c>
      <c r="E21" s="2">
        <v>5</v>
      </c>
      <c r="F21" s="2" t="str">
        <f>_xlfn.XLOOKUP(C21,customers!$A$1:$A$1001,customers!$B$1:$B$1001,,0)</f>
        <v>Aurea Corradino</v>
      </c>
      <c r="G21" s="2" t="str">
        <f>IF(_xlfn.XLOOKUP(C21,customers!$A$1:$A$1001,customers!$C$1:$C$1001, ,0)=0,"",_xlfn.XLOOKUP(C21,customers!$A$1:$A$1001,customers!$C$1:$C$1001, ,0))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c r="Q21" s="5">
        <f>_xlfn.XLOOKUP(Orders[[#This Row],[Product ID]],products!$A$1:$A$49,products!$G$1:$G$49) *Orders[[#This Row],[Quantity]]</f>
        <v>1.5187499999999998</v>
      </c>
    </row>
    <row r="22" spans="1:17" x14ac:dyDescent="0.25">
      <c r="A22" s="2" t="s">
        <v>598</v>
      </c>
      <c r="B22" s="3">
        <v>44169</v>
      </c>
      <c r="C22" s="2" t="s">
        <v>599</v>
      </c>
      <c r="D22" t="s">
        <v>6153</v>
      </c>
      <c r="E22" s="2">
        <v>4</v>
      </c>
      <c r="F22" s="2" t="str">
        <f>_xlfn.XLOOKUP(C22,customers!$A$1:$A$1001,customers!$B$1:$B$1001,,0)</f>
        <v>Aurea Corradino</v>
      </c>
      <c r="G22" s="2" t="str">
        <f>IF(_xlfn.XLOOKUP(C22,customers!$A$1:$A$1001,customers!$C$1:$C$1001, ,0)=0,"",_xlfn.XLOOKUP(C22,customers!$A$1:$A$1001,customers!$C$1:$C$1001, ,0))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c r="Q22" s="5">
        <f>_xlfn.XLOOKUP(Orders[[#This Row],[Product ID]],products!$A$1:$A$49,products!$G$1:$G$49) *Orders[[#This Row],[Quantity]]</f>
        <v>1.6038000000000001</v>
      </c>
    </row>
    <row r="23" spans="1:17" x14ac:dyDescent="0.25">
      <c r="A23" s="2" t="s">
        <v>608</v>
      </c>
      <c r="B23" s="3">
        <v>44169</v>
      </c>
      <c r="C23" s="2" t="s">
        <v>609</v>
      </c>
      <c r="D23" t="s">
        <v>6154</v>
      </c>
      <c r="E23" s="2">
        <v>6</v>
      </c>
      <c r="F23" s="2" t="str">
        <f>_xlfn.XLOOKUP(C23,customers!$A$1:$A$1001,customers!$B$1:$B$1001,,0)</f>
        <v>Avrit Davidowsky</v>
      </c>
      <c r="G23" s="2" t="str">
        <f>IF(_xlfn.XLOOKUP(C23,customers!$A$1:$A$1001,customers!$C$1:$C$1001, ,0)=0,"",_xlfn.XLOOKUP(C23,customers!$A$1:$A$1001,customers!$C$1:$C$1001, ,0))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c r="Q23" s="5">
        <f>_xlfn.XLOOKUP(Orders[[#This Row],[Product ID]],products!$A$1:$A$49,products!$G$1:$G$49) *Orders[[#This Row],[Quantity]]</f>
        <v>1.6118999999999999</v>
      </c>
    </row>
    <row r="24" spans="1:17" x14ac:dyDescent="0.25">
      <c r="A24" s="2" t="s">
        <v>614</v>
      </c>
      <c r="B24" s="3">
        <v>44218</v>
      </c>
      <c r="C24" s="2" t="s">
        <v>615</v>
      </c>
      <c r="D24" t="s">
        <v>6151</v>
      </c>
      <c r="E24" s="2">
        <v>4</v>
      </c>
      <c r="F24" s="2" t="str">
        <f>_xlfn.XLOOKUP(C24,customers!$A$1:$A$1001,customers!$B$1:$B$1001,,0)</f>
        <v>Annabel Antuk</v>
      </c>
      <c r="G24" s="2" t="str">
        <f>IF(_xlfn.XLOOKUP(C24,customers!$A$1:$A$1001,customers!$C$1:$C$1001, ,0)=0,"",_xlfn.XLOOKUP(C24,customers!$A$1:$A$1001,customers!$C$1:$C$1001, ,0))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c r="Q24" s="5">
        <f>_xlfn.XLOOKUP(Orders[[#This Row],[Product ID]],products!$A$1:$A$49,products!$G$1:$G$49) *Orders[[#This Row],[Quantity]]</f>
        <v>5.4923999999999991</v>
      </c>
    </row>
    <row r="25" spans="1:17" x14ac:dyDescent="0.25">
      <c r="A25" s="2" t="s">
        <v>620</v>
      </c>
      <c r="B25" s="3">
        <v>44603</v>
      </c>
      <c r="C25" s="2" t="s">
        <v>621</v>
      </c>
      <c r="D25" t="s">
        <v>6154</v>
      </c>
      <c r="E25" s="2">
        <v>4</v>
      </c>
      <c r="F25" s="2" t="str">
        <f>_xlfn.XLOOKUP(C25,customers!$A$1:$A$1001,customers!$B$1:$B$1001,,0)</f>
        <v>Iorgo Kleinert</v>
      </c>
      <c r="G25" s="2" t="str">
        <f>IF(_xlfn.XLOOKUP(C25,customers!$A$1:$A$1001,customers!$C$1:$C$1001, ,0)=0,"",_xlfn.XLOOKUP(C25,customers!$A$1:$A$1001,customers!$C$1:$C$1001, ,0))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c r="Q25" s="5">
        <f>_xlfn.XLOOKUP(Orders[[#This Row],[Product ID]],products!$A$1:$A$49,products!$G$1:$G$49) *Orders[[#This Row],[Quantity]]</f>
        <v>1.0746</v>
      </c>
    </row>
    <row r="26" spans="1:17" x14ac:dyDescent="0.25">
      <c r="A26" s="2" t="s">
        <v>626</v>
      </c>
      <c r="B26" s="3">
        <v>44454</v>
      </c>
      <c r="C26" s="2" t="s">
        <v>627</v>
      </c>
      <c r="D26" t="s">
        <v>6155</v>
      </c>
      <c r="E26" s="2">
        <v>1</v>
      </c>
      <c r="F26" s="2" t="str">
        <f>_xlfn.XLOOKUP(C26,customers!$A$1:$A$1001,customers!$B$1:$B$1001,,0)</f>
        <v>Chrisy Blofeld</v>
      </c>
      <c r="G26" s="2" t="str">
        <f>IF(_xlfn.XLOOKUP(C26,customers!$A$1:$A$1001,customers!$C$1:$C$1001, ,0)=0,"",_xlfn.XLOOKUP(C26,customers!$A$1:$A$1001,customers!$C$1:$C$1001, ,0))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c r="Q26" s="5">
        <f>_xlfn.XLOOKUP(Orders[[#This Row],[Product ID]],products!$A$1:$A$49,products!$G$1:$G$49) *Orders[[#This Row],[Quantity]]</f>
        <v>1.0125</v>
      </c>
    </row>
    <row r="27" spans="1:17" x14ac:dyDescent="0.25">
      <c r="A27" s="2" t="s">
        <v>632</v>
      </c>
      <c r="B27" s="3">
        <v>44128</v>
      </c>
      <c r="C27" s="2" t="s">
        <v>633</v>
      </c>
      <c r="D27" t="s">
        <v>6156</v>
      </c>
      <c r="E27" s="2">
        <v>3</v>
      </c>
      <c r="F27" s="2" t="str">
        <f>_xlfn.XLOOKUP(C27,customers!$A$1:$A$1001,customers!$B$1:$B$1001,,0)</f>
        <v>Culley Farris</v>
      </c>
      <c r="G27" s="2" t="str">
        <f>IF(_xlfn.XLOOKUP(C27,customers!$A$1:$A$1001,customers!$C$1:$C$1001, ,0)=0,"",_xlfn.XLOOKUP(C27,customers!$A$1:$A$1001,customers!$C$1:$C$1001, ,0))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c r="Q27" s="5">
        <f>_xlfn.XLOOKUP(Orders[[#This Row],[Product ID]],products!$A$1:$A$49,products!$G$1:$G$49) *Orders[[#This Row],[Quantity]]</f>
        <v>1.3612500000000001</v>
      </c>
    </row>
    <row r="28" spans="1:17" x14ac:dyDescent="0.25">
      <c r="A28" s="2" t="s">
        <v>637</v>
      </c>
      <c r="B28" s="3">
        <v>43516</v>
      </c>
      <c r="C28" s="2" t="s">
        <v>638</v>
      </c>
      <c r="D28" t="s">
        <v>6157</v>
      </c>
      <c r="E28" s="2">
        <v>4</v>
      </c>
      <c r="F28" s="2" t="str">
        <f>_xlfn.XLOOKUP(C28,customers!$A$1:$A$1001,customers!$B$1:$B$1001,,0)</f>
        <v>Selene Shales</v>
      </c>
      <c r="G28" s="2" t="str">
        <f>IF(_xlfn.XLOOKUP(C28,customers!$A$1:$A$1001,customers!$C$1:$C$1001, ,0)=0,"",_xlfn.XLOOKUP(C28,customers!$A$1:$A$1001,customers!$C$1:$C$1001, ,0))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c r="Q28" s="5">
        <f>_xlfn.XLOOKUP(Orders[[#This Row],[Product ID]],products!$A$1:$A$49,products!$G$1:$G$49) *Orders[[#This Row],[Quantity]]</f>
        <v>2.4299999999999997</v>
      </c>
    </row>
    <row r="29" spans="1:17" x14ac:dyDescent="0.25">
      <c r="A29" s="2" t="s">
        <v>643</v>
      </c>
      <c r="B29" s="3">
        <v>43746</v>
      </c>
      <c r="C29" s="2" t="s">
        <v>644</v>
      </c>
      <c r="D29" t="s">
        <v>6152</v>
      </c>
      <c r="E29" s="2">
        <v>5</v>
      </c>
      <c r="F29" s="2" t="str">
        <f>_xlfn.XLOOKUP(C29,customers!$A$1:$A$1001,customers!$B$1:$B$1001,,0)</f>
        <v>Vivie Danneil</v>
      </c>
      <c r="G29" s="2" t="str">
        <f>IF(_xlfn.XLOOKUP(C29,customers!$A$1:$A$1001,customers!$C$1:$C$1001, ,0)=0,"",_xlfn.XLOOKUP(C29,customers!$A$1:$A$1001,customers!$C$1:$C$1001, ,0))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c r="Q29" s="5">
        <f>_xlfn.XLOOKUP(Orders[[#This Row],[Product ID]],products!$A$1:$A$49,products!$G$1:$G$49) *Orders[[#This Row],[Quantity]]</f>
        <v>1.5187499999999998</v>
      </c>
    </row>
    <row r="30" spans="1:17" x14ac:dyDescent="0.25">
      <c r="A30" s="2" t="s">
        <v>649</v>
      </c>
      <c r="B30" s="3">
        <v>44775</v>
      </c>
      <c r="C30" s="2" t="s">
        <v>650</v>
      </c>
      <c r="D30" t="s">
        <v>6158</v>
      </c>
      <c r="E30" s="2">
        <v>3</v>
      </c>
      <c r="F30" s="2" t="str">
        <f>_xlfn.XLOOKUP(C30,customers!$A$1:$A$1001,customers!$B$1:$B$1001,,0)</f>
        <v>Theresita Newbury</v>
      </c>
      <c r="G30" s="2" t="str">
        <f>IF(_xlfn.XLOOKUP(C30,customers!$A$1:$A$1001,customers!$C$1:$C$1001, ,0)=0,"",_xlfn.XLOOKUP(C30,customers!$A$1:$A$1001,customers!$C$1:$C$1001, ,0))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c r="Q30" s="5">
        <f>_xlfn.XLOOKUP(Orders[[#This Row],[Product ID]],products!$A$1:$A$49,products!$G$1:$G$49) *Orders[[#This Row],[Quantity]]</f>
        <v>1.6118999999999999</v>
      </c>
    </row>
    <row r="31" spans="1:17" x14ac:dyDescent="0.25">
      <c r="A31" s="2" t="s">
        <v>655</v>
      </c>
      <c r="B31" s="3">
        <v>43516</v>
      </c>
      <c r="C31" s="2" t="s">
        <v>656</v>
      </c>
      <c r="D31" t="s">
        <v>6147</v>
      </c>
      <c r="E31" s="2">
        <v>4</v>
      </c>
      <c r="F31" s="2" t="str">
        <f>_xlfn.XLOOKUP(C31,customers!$A$1:$A$1001,customers!$B$1:$B$1001,,0)</f>
        <v>Mozelle Calcutt</v>
      </c>
      <c r="G31" s="2" t="str">
        <f>IF(_xlfn.XLOOKUP(C31,customers!$A$1:$A$1001,customers!$C$1:$C$1001, ,0)=0,"",_xlfn.XLOOKUP(C31,customers!$A$1:$A$1001,customers!$C$1:$C$1001, ,0))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c r="Q31" s="5">
        <f>_xlfn.XLOOKUP(Orders[[#This Row],[Product ID]],products!$A$1:$A$49,products!$G$1:$G$49) *Orders[[#This Row],[Quantity]]</f>
        <v>3.5819999999999994</v>
      </c>
    </row>
    <row r="32" spans="1:17" x14ac:dyDescent="0.25">
      <c r="A32" s="2" t="s">
        <v>661</v>
      </c>
      <c r="B32" s="3">
        <v>44464</v>
      </c>
      <c r="C32" s="2" t="s">
        <v>662</v>
      </c>
      <c r="D32" t="s">
        <v>6159</v>
      </c>
      <c r="E32" s="2">
        <v>5</v>
      </c>
      <c r="F32" s="2" t="str">
        <f>_xlfn.XLOOKUP(C32,customers!$A$1:$A$1001,customers!$B$1:$B$1001,,0)</f>
        <v>Adrian Swaine</v>
      </c>
      <c r="G32" s="2" t="str">
        <f>IF(_xlfn.XLOOKUP(C32,customers!$A$1:$A$1001,customers!$C$1:$C$1001, ,0)=0,"",_xlfn.XLOOKUP(C32,customers!$A$1:$A$1001,customers!$C$1:$C$1001, ,0))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c r="Q32" s="5">
        <f>_xlfn.XLOOKUP(Orders[[#This Row],[Product ID]],products!$A$1:$A$49,products!$G$1:$G$49) *Orders[[#This Row],[Quantity]]</f>
        <v>2.83725</v>
      </c>
    </row>
    <row r="33" spans="1:17" x14ac:dyDescent="0.25">
      <c r="A33" s="2" t="s">
        <v>661</v>
      </c>
      <c r="B33" s="3">
        <v>44464</v>
      </c>
      <c r="C33" s="2" t="s">
        <v>662</v>
      </c>
      <c r="D33" t="s">
        <v>6158</v>
      </c>
      <c r="E33" s="2">
        <v>6</v>
      </c>
      <c r="F33" s="2" t="str">
        <f>_xlfn.XLOOKUP(C33,customers!$A$1:$A$1001,customers!$B$1:$B$1001,,0)</f>
        <v>Adrian Swaine</v>
      </c>
      <c r="G33" s="2" t="str">
        <f>IF(_xlfn.XLOOKUP(C33,customers!$A$1:$A$1001,customers!$C$1:$C$1001, ,0)=0,"",_xlfn.XLOOKUP(C33,customers!$A$1:$A$1001,customers!$C$1:$C$1001, ,0))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c r="Q33" s="5">
        <f>_xlfn.XLOOKUP(Orders[[#This Row],[Product ID]],products!$A$1:$A$49,products!$G$1:$G$49) *Orders[[#This Row],[Quantity]]</f>
        <v>3.2237999999999998</v>
      </c>
    </row>
    <row r="34" spans="1:17" x14ac:dyDescent="0.25">
      <c r="A34" s="2" t="s">
        <v>661</v>
      </c>
      <c r="B34" s="3">
        <v>44464</v>
      </c>
      <c r="C34" s="2" t="s">
        <v>662</v>
      </c>
      <c r="D34" t="s">
        <v>6160</v>
      </c>
      <c r="E34" s="2">
        <v>6</v>
      </c>
      <c r="F34" s="2" t="str">
        <f>_xlfn.XLOOKUP(C34,customers!$A$1:$A$1001,customers!$B$1:$B$1001,,0)</f>
        <v>Adrian Swaine</v>
      </c>
      <c r="G34" s="2" t="str">
        <f>IF(_xlfn.XLOOKUP(C34,customers!$A$1:$A$1001,customers!$C$1:$C$1001, ,0)=0,"",_xlfn.XLOOKUP(C34,customers!$A$1:$A$1001,customers!$C$1:$C$1001, ,0))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c r="Q34" s="5">
        <f>_xlfn.XLOOKUP(Orders[[#This Row],[Product ID]],products!$A$1:$A$49,products!$G$1:$G$49) *Orders[[#This Row],[Quantity]]</f>
        <v>6.8094000000000001</v>
      </c>
    </row>
    <row r="35" spans="1:17" x14ac:dyDescent="0.25">
      <c r="A35" s="2" t="s">
        <v>676</v>
      </c>
      <c r="B35" s="3">
        <v>44394</v>
      </c>
      <c r="C35" s="2" t="s">
        <v>677</v>
      </c>
      <c r="D35" t="s">
        <v>6145</v>
      </c>
      <c r="E35" s="2">
        <v>5</v>
      </c>
      <c r="F35" s="2" t="str">
        <f>_xlfn.XLOOKUP(C35,customers!$A$1:$A$1001,customers!$B$1:$B$1001,,0)</f>
        <v>Gallard Gatheral</v>
      </c>
      <c r="G35" s="2" t="str">
        <f>IF(_xlfn.XLOOKUP(C35,customers!$A$1:$A$1001,customers!$C$1:$C$1001, ,0)=0,"",_xlfn.XLOOKUP(C35,customers!$A$1:$A$1001,customers!$C$1:$C$1001, ,0))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c r="Q35" s="5">
        <f>_xlfn.XLOOKUP(Orders[[#This Row],[Product ID]],products!$A$1:$A$49,products!$G$1:$G$49) *Orders[[#This Row],[Quantity]]</f>
        <v>3.0907499999999999</v>
      </c>
    </row>
    <row r="36" spans="1:17" x14ac:dyDescent="0.25">
      <c r="A36" s="2" t="s">
        <v>681</v>
      </c>
      <c r="B36" s="3">
        <v>44011</v>
      </c>
      <c r="C36" s="2" t="s">
        <v>682</v>
      </c>
      <c r="D36" t="s">
        <v>6161</v>
      </c>
      <c r="E36" s="2">
        <v>6</v>
      </c>
      <c r="F36" s="2" t="str">
        <f>_xlfn.XLOOKUP(C36,customers!$A$1:$A$1001,customers!$B$1:$B$1001,,0)</f>
        <v>Una Welberry</v>
      </c>
      <c r="G36" s="2" t="str">
        <f>IF(_xlfn.XLOOKUP(C36,customers!$A$1:$A$1001,customers!$C$1:$C$1001, ,0)=0,"",_xlfn.XLOOKUP(C36,customers!$A$1:$A$1001,customers!$C$1:$C$1001, ,0))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c r="Q36" s="5">
        <f>_xlfn.XLOOKUP(Orders[[#This Row],[Product ID]],products!$A$1:$A$49,products!$G$1:$G$49) *Orders[[#This Row],[Quantity]]</f>
        <v>7.4177999999999997</v>
      </c>
    </row>
    <row r="37" spans="1:17" x14ac:dyDescent="0.25">
      <c r="A37" s="2" t="s">
        <v>687</v>
      </c>
      <c r="B37" s="3">
        <v>44348</v>
      </c>
      <c r="C37" s="2" t="s">
        <v>688</v>
      </c>
      <c r="D37" t="s">
        <v>6158</v>
      </c>
      <c r="E37" s="2">
        <v>6</v>
      </c>
      <c r="F37" s="2" t="str">
        <f>_xlfn.XLOOKUP(C37,customers!$A$1:$A$1001,customers!$B$1:$B$1001,,0)</f>
        <v>Faber Eilhart</v>
      </c>
      <c r="G37" s="2" t="str">
        <f>IF(_xlfn.XLOOKUP(C37,customers!$A$1:$A$1001,customers!$C$1:$C$1001, ,0)=0,"",_xlfn.XLOOKUP(C37,customers!$A$1:$A$1001,customers!$C$1:$C$1001, ,0))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c r="Q37" s="5">
        <f>_xlfn.XLOOKUP(Orders[[#This Row],[Product ID]],products!$A$1:$A$49,products!$G$1:$G$49) *Orders[[#This Row],[Quantity]]</f>
        <v>3.2237999999999998</v>
      </c>
    </row>
    <row r="38" spans="1:17" x14ac:dyDescent="0.25">
      <c r="A38" s="2" t="s">
        <v>693</v>
      </c>
      <c r="B38" s="3">
        <v>44233</v>
      </c>
      <c r="C38" s="2" t="s">
        <v>694</v>
      </c>
      <c r="D38" t="s">
        <v>6159</v>
      </c>
      <c r="E38" s="2">
        <v>2</v>
      </c>
      <c r="F38" s="2" t="str">
        <f>_xlfn.XLOOKUP(C38,customers!$A$1:$A$1001,customers!$B$1:$B$1001,,0)</f>
        <v>Zorina Ponting</v>
      </c>
      <c r="G38" s="2" t="str">
        <f>IF(_xlfn.XLOOKUP(C38,customers!$A$1:$A$1001,customers!$C$1:$C$1001, ,0)=0,"",_xlfn.XLOOKUP(C38,customers!$A$1:$A$1001,customers!$C$1:$C$1001, ,0))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c r="Q38" s="5">
        <f>_xlfn.XLOOKUP(Orders[[#This Row],[Product ID]],products!$A$1:$A$49,products!$G$1:$G$49) *Orders[[#This Row],[Quantity]]</f>
        <v>1.1349</v>
      </c>
    </row>
    <row r="39" spans="1:17" x14ac:dyDescent="0.25">
      <c r="A39" s="2" t="s">
        <v>699</v>
      </c>
      <c r="B39" s="3">
        <v>43580</v>
      </c>
      <c r="C39" s="2" t="s">
        <v>700</v>
      </c>
      <c r="D39" t="s">
        <v>6161</v>
      </c>
      <c r="E39" s="2">
        <v>3</v>
      </c>
      <c r="F39" s="2" t="str">
        <f>_xlfn.XLOOKUP(C39,customers!$A$1:$A$1001,customers!$B$1:$B$1001,,0)</f>
        <v>Silvio Strase</v>
      </c>
      <c r="G39" s="2" t="str">
        <f>IF(_xlfn.XLOOKUP(C39,customers!$A$1:$A$1001,customers!$C$1:$C$1001, ,0)=0,"",_xlfn.XLOOKUP(C39,customers!$A$1:$A$1001,customers!$C$1:$C$1001, ,0))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c r="Q39" s="5">
        <f>_xlfn.XLOOKUP(Orders[[#This Row],[Product ID]],products!$A$1:$A$49,products!$G$1:$G$49) *Orders[[#This Row],[Quantity]]</f>
        <v>3.7088999999999999</v>
      </c>
    </row>
    <row r="40" spans="1:17" x14ac:dyDescent="0.25">
      <c r="A40" s="2" t="s">
        <v>705</v>
      </c>
      <c r="B40" s="3">
        <v>43946</v>
      </c>
      <c r="C40" s="2" t="s">
        <v>706</v>
      </c>
      <c r="D40" t="s">
        <v>6151</v>
      </c>
      <c r="E40" s="2">
        <v>5</v>
      </c>
      <c r="F40" s="2" t="str">
        <f>_xlfn.XLOOKUP(C40,customers!$A$1:$A$1001,customers!$B$1:$B$1001,,0)</f>
        <v>Dorie de la Tremoille</v>
      </c>
      <c r="G40" s="2" t="str">
        <f>IF(_xlfn.XLOOKUP(C40,customers!$A$1:$A$1001,customers!$C$1:$C$1001, ,0)=0,"",_xlfn.XLOOKUP(C40,customers!$A$1:$A$1001,customers!$C$1:$C$1001, ,0))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c r="Q40" s="5">
        <f>_xlfn.XLOOKUP(Orders[[#This Row],[Product ID]],products!$A$1:$A$49,products!$G$1:$G$49) *Orders[[#This Row],[Quantity]]</f>
        <v>6.865499999999999</v>
      </c>
    </row>
    <row r="41" spans="1:17" x14ac:dyDescent="0.25">
      <c r="A41" s="2" t="s">
        <v>711</v>
      </c>
      <c r="B41" s="3">
        <v>44524</v>
      </c>
      <c r="C41" s="2" t="s">
        <v>712</v>
      </c>
      <c r="D41" t="s">
        <v>6138</v>
      </c>
      <c r="E41" s="2">
        <v>6</v>
      </c>
      <c r="F41" s="2" t="str">
        <f>_xlfn.XLOOKUP(C41,customers!$A$1:$A$1001,customers!$B$1:$B$1001,,0)</f>
        <v>Hy Zanetto</v>
      </c>
      <c r="G41" s="2" t="str">
        <f>IF(_xlfn.XLOOKUP(C41,customers!$A$1:$A$1001,customers!$C$1:$C$1001, ,0)=0,"",_xlfn.XLOOKUP(C41,customers!$A$1:$A$1001,customers!$C$1:$C$1001, ,0))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c r="Q41" s="5">
        <f>_xlfn.XLOOKUP(Orders[[#This Row],[Product ID]],products!$A$1:$A$49,products!$G$1:$G$49) *Orders[[#This Row],[Quantity]]</f>
        <v>3.5819999999999999</v>
      </c>
    </row>
    <row r="42" spans="1:17" x14ac:dyDescent="0.25">
      <c r="A42" s="2" t="s">
        <v>715</v>
      </c>
      <c r="B42" s="3">
        <v>44305</v>
      </c>
      <c r="C42" s="2" t="s">
        <v>716</v>
      </c>
      <c r="D42" t="s">
        <v>6162</v>
      </c>
      <c r="E42" s="2">
        <v>3</v>
      </c>
      <c r="F42" s="2" t="str">
        <f>_xlfn.XLOOKUP(C42,customers!$A$1:$A$1001,customers!$B$1:$B$1001,,0)</f>
        <v>Jessica McNess</v>
      </c>
      <c r="G42" s="2" t="str">
        <f>IF(_xlfn.XLOOKUP(C42,customers!$A$1:$A$1001,customers!$C$1:$C$1001, ,0)=0,"",_xlfn.XLOOKUP(C42,customers!$A$1:$A$1001,customers!$C$1:$C$1001, ,0))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c r="Q42" s="5">
        <f>_xlfn.XLOOKUP(Orders[[#This Row],[Product ID]],products!$A$1:$A$49,products!$G$1:$G$49) *Orders[[#This Row],[Quantity]]</f>
        <v>5.6745000000000001</v>
      </c>
    </row>
    <row r="43" spans="1:17" x14ac:dyDescent="0.25">
      <c r="A43" s="2" t="s">
        <v>720</v>
      </c>
      <c r="B43" s="3">
        <v>44749</v>
      </c>
      <c r="C43" s="2" t="s">
        <v>721</v>
      </c>
      <c r="D43" t="s">
        <v>6153</v>
      </c>
      <c r="E43" s="2">
        <v>2</v>
      </c>
      <c r="F43" s="2" t="str">
        <f>_xlfn.XLOOKUP(C43,customers!$A$1:$A$1001,customers!$B$1:$B$1001,,0)</f>
        <v>Lorenzo Yeoland</v>
      </c>
      <c r="G43" s="2" t="str">
        <f>IF(_xlfn.XLOOKUP(C43,customers!$A$1:$A$1001,customers!$C$1:$C$1001, ,0)=0,"",_xlfn.XLOOKUP(C43,customers!$A$1:$A$1001,customers!$C$1:$C$1001, ,0))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c r="Q43" s="5">
        <f>_xlfn.XLOOKUP(Orders[[#This Row],[Product ID]],products!$A$1:$A$49,products!$G$1:$G$49) *Orders[[#This Row],[Quantity]]</f>
        <v>0.80190000000000006</v>
      </c>
    </row>
    <row r="44" spans="1:17" x14ac:dyDescent="0.25">
      <c r="A44" s="2" t="s">
        <v>726</v>
      </c>
      <c r="B44" s="3">
        <v>43607</v>
      </c>
      <c r="C44" s="2" t="s">
        <v>727</v>
      </c>
      <c r="D44" t="s">
        <v>6163</v>
      </c>
      <c r="E44" s="2">
        <v>3</v>
      </c>
      <c r="F44" s="2" t="str">
        <f>_xlfn.XLOOKUP(C44,customers!$A$1:$A$1001,customers!$B$1:$B$1001,,0)</f>
        <v>Abigail Tolworthy</v>
      </c>
      <c r="G44" s="2" t="str">
        <f>IF(_xlfn.XLOOKUP(C44,customers!$A$1:$A$1001,customers!$C$1:$C$1001, ,0)=0,"",_xlfn.XLOOKUP(C44,customers!$A$1:$A$1001,customers!$C$1:$C$1001, ,0))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c r="Q44" s="5">
        <f>_xlfn.XLOOKUP(Orders[[#This Row],[Product ID]],products!$A$1:$A$49,products!$G$1:$G$49) *Orders[[#This Row],[Quantity]]</f>
        <v>0.4832999999999999</v>
      </c>
    </row>
    <row r="45" spans="1:17" x14ac:dyDescent="0.25">
      <c r="A45" s="2" t="s">
        <v>733</v>
      </c>
      <c r="B45" s="3">
        <v>44473</v>
      </c>
      <c r="C45" s="2" t="s">
        <v>734</v>
      </c>
      <c r="D45" t="s">
        <v>6164</v>
      </c>
      <c r="E45" s="2">
        <v>2</v>
      </c>
      <c r="F45" s="2" t="str">
        <f>_xlfn.XLOOKUP(C45,customers!$A$1:$A$1001,customers!$B$1:$B$1001,,0)</f>
        <v>Maurie Bartol</v>
      </c>
      <c r="G45" s="2" t="str">
        <f>IF(_xlfn.XLOOKUP(C45,customers!$A$1:$A$1001,customers!$C$1:$C$1001, ,0)=0,"",_xlfn.XLOOKUP(C45,customers!$A$1:$A$1001,customers!$C$1:$C$1001, ,0))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c r="Q45" s="5">
        <f>_xlfn.XLOOKUP(Orders[[#This Row],[Product ID]],products!$A$1:$A$49,products!$G$1:$G$49) *Orders[[#This Row],[Quantity]]</f>
        <v>9.4782999999999991</v>
      </c>
    </row>
    <row r="46" spans="1:17" x14ac:dyDescent="0.25">
      <c r="A46" s="2" t="s">
        <v>738</v>
      </c>
      <c r="B46" s="3">
        <v>43932</v>
      </c>
      <c r="C46" s="2" t="s">
        <v>739</v>
      </c>
      <c r="D46" t="s">
        <v>6139</v>
      </c>
      <c r="E46" s="2">
        <v>2</v>
      </c>
      <c r="F46" s="2" t="str">
        <f>_xlfn.XLOOKUP(C46,customers!$A$1:$A$1001,customers!$B$1:$B$1001,,0)</f>
        <v>Olag Baudassi</v>
      </c>
      <c r="G46" s="2" t="str">
        <f>IF(_xlfn.XLOOKUP(C46,customers!$A$1:$A$1001,customers!$C$1:$C$1001, ,0)=0,"",_xlfn.XLOOKUP(C46,customers!$A$1:$A$1001,customers!$C$1:$C$1001, ,0))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c r="Q46" s="5">
        <f>_xlfn.XLOOKUP(Orders[[#This Row],[Product ID]],products!$A$1:$A$49,products!$G$1:$G$49) *Orders[[#This Row],[Quantity]]</f>
        <v>1.8149999999999999</v>
      </c>
    </row>
    <row r="47" spans="1:17" x14ac:dyDescent="0.25">
      <c r="A47" s="2" t="s">
        <v>744</v>
      </c>
      <c r="B47" s="3">
        <v>44592</v>
      </c>
      <c r="C47" s="2" t="s">
        <v>745</v>
      </c>
      <c r="D47" t="s">
        <v>6165</v>
      </c>
      <c r="E47" s="2">
        <v>6</v>
      </c>
      <c r="F47" s="2" t="str">
        <f>_xlfn.XLOOKUP(C47,customers!$A$1:$A$1001,customers!$B$1:$B$1001,,0)</f>
        <v>Petey Kingsbury</v>
      </c>
      <c r="G47" s="2" t="str">
        <f>IF(_xlfn.XLOOKUP(C47,customers!$A$1:$A$1001,customers!$C$1:$C$1001, ,0)=0,"",_xlfn.XLOOKUP(C47,customers!$A$1:$A$1001,customers!$C$1:$C$1001, ,0))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c r="Q47" s="5">
        <f>_xlfn.XLOOKUP(Orders[[#This Row],[Product ID]],products!$A$1:$A$49,products!$G$1:$G$49) *Orders[[#This Row],[Quantity]]</f>
        <v>23.232299999999999</v>
      </c>
    </row>
    <row r="48" spans="1:17" x14ac:dyDescent="0.25">
      <c r="A48" s="2" t="s">
        <v>750</v>
      </c>
      <c r="B48" s="3">
        <v>43776</v>
      </c>
      <c r="C48" s="2" t="s">
        <v>751</v>
      </c>
      <c r="D48" t="s">
        <v>6166</v>
      </c>
      <c r="E48" s="2">
        <v>2</v>
      </c>
      <c r="F48" s="2" t="str">
        <f>_xlfn.XLOOKUP(C48,customers!$A$1:$A$1001,customers!$B$1:$B$1001,,0)</f>
        <v>Donna Baskeyfied</v>
      </c>
      <c r="G48" s="2" t="str">
        <f>IF(_xlfn.XLOOKUP(C48,customers!$A$1:$A$1001,customers!$C$1:$C$1001, ,0)=0,"",_xlfn.XLOOKUP(C48,customers!$A$1:$A$1001,customers!$C$1:$C$1001, ,0))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c r="Q48" s="5">
        <f>_xlfn.XLOOKUP(Orders[[#This Row],[Product ID]],products!$A$1:$A$49,products!$G$1:$G$49) *Orders[[#This Row],[Quantity]]</f>
        <v>6.9574999999999996</v>
      </c>
    </row>
    <row r="49" spans="1:17" x14ac:dyDescent="0.25">
      <c r="A49" s="2" t="s">
        <v>755</v>
      </c>
      <c r="B49" s="3">
        <v>43644</v>
      </c>
      <c r="C49" s="2" t="s">
        <v>756</v>
      </c>
      <c r="D49" t="s">
        <v>6167</v>
      </c>
      <c r="E49" s="2">
        <v>2</v>
      </c>
      <c r="F49" s="2" t="str">
        <f>_xlfn.XLOOKUP(C49,customers!$A$1:$A$1001,customers!$B$1:$B$1001,,0)</f>
        <v>Arda Curley</v>
      </c>
      <c r="G49" s="2" t="str">
        <f>IF(_xlfn.XLOOKUP(C49,customers!$A$1:$A$1001,customers!$C$1:$C$1001, ,0)=0,"",_xlfn.XLOOKUP(C49,customers!$A$1:$A$1001,customers!$C$1:$C$1001, ,0))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c r="Q49" s="5">
        <f>_xlfn.XLOOKUP(Orders[[#This Row],[Product ID]],products!$A$1:$A$49,products!$G$1:$G$49) *Orders[[#This Row],[Quantity]]</f>
        <v>0.69929999999999992</v>
      </c>
    </row>
    <row r="50" spans="1:17" x14ac:dyDescent="0.25">
      <c r="A50" s="2" t="s">
        <v>761</v>
      </c>
      <c r="B50" s="3">
        <v>44085</v>
      </c>
      <c r="C50" s="2" t="s">
        <v>762</v>
      </c>
      <c r="D50" t="s">
        <v>6168</v>
      </c>
      <c r="E50" s="2">
        <v>4</v>
      </c>
      <c r="F50" s="2" t="str">
        <f>_xlfn.XLOOKUP(C50,customers!$A$1:$A$1001,customers!$B$1:$B$1001,,0)</f>
        <v>Raynor McGilvary</v>
      </c>
      <c r="G50" s="2" t="str">
        <f>IF(_xlfn.XLOOKUP(C50,customers!$A$1:$A$1001,customers!$C$1:$C$1001, ,0)=0,"",_xlfn.XLOOKUP(C50,customers!$A$1:$A$1001,customers!$C$1:$C$1001, ,0))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c r="Q50" s="5">
        <f>_xlfn.XLOOKUP(Orders[[#This Row],[Product ID]],products!$A$1:$A$49,products!$G$1:$G$49) *Orders[[#This Row],[Quantity]]</f>
        <v>8.2385999999999981</v>
      </c>
    </row>
    <row r="51" spans="1:17" x14ac:dyDescent="0.25">
      <c r="A51" s="2" t="s">
        <v>766</v>
      </c>
      <c r="B51" s="3">
        <v>44790</v>
      </c>
      <c r="C51" s="2" t="s">
        <v>767</v>
      </c>
      <c r="D51" t="s">
        <v>6140</v>
      </c>
      <c r="E51" s="2">
        <v>3</v>
      </c>
      <c r="F51" s="2" t="str">
        <f>_xlfn.XLOOKUP(C51,customers!$A$1:$A$1001,customers!$B$1:$B$1001,,0)</f>
        <v>Isis Pikett</v>
      </c>
      <c r="G51" s="2" t="str">
        <f>IF(_xlfn.XLOOKUP(C51,customers!$A$1:$A$1001,customers!$C$1:$C$1001, ,0)=0,"",_xlfn.XLOOKUP(C51,customers!$A$1:$A$1001,customers!$C$1:$C$1001, ,0))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c r="Q51" s="5">
        <f>_xlfn.XLOOKUP(Orders[[#This Row],[Product ID]],products!$A$1:$A$49,products!$G$1:$G$49) *Orders[[#This Row],[Quantity]]</f>
        <v>3.4965000000000002</v>
      </c>
    </row>
    <row r="52" spans="1:17" x14ac:dyDescent="0.25">
      <c r="A52" s="2" t="s">
        <v>772</v>
      </c>
      <c r="B52" s="3">
        <v>44792</v>
      </c>
      <c r="C52" s="2" t="s">
        <v>773</v>
      </c>
      <c r="D52" t="s">
        <v>6169</v>
      </c>
      <c r="E52" s="2">
        <v>2</v>
      </c>
      <c r="F52" s="2" t="str">
        <f>_xlfn.XLOOKUP(C52,customers!$A$1:$A$1001,customers!$B$1:$B$1001,,0)</f>
        <v>Inger Bouldon</v>
      </c>
      <c r="G52" s="2" t="str">
        <f>IF(_xlfn.XLOOKUP(C52,customers!$A$1:$A$1001,customers!$C$1:$C$1001, ,0)=0,"",_xlfn.XLOOKUP(C52,customers!$A$1:$A$1001,customers!$C$1:$C$1001, ,0))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c r="Q52" s="5">
        <f>_xlfn.XLOOKUP(Orders[[#This Row],[Product ID]],products!$A$1:$A$49,products!$G$1:$G$49) *Orders[[#This Row],[Quantity]]</f>
        <v>2.0202</v>
      </c>
    </row>
    <row r="53" spans="1:17" x14ac:dyDescent="0.25">
      <c r="A53" s="2" t="s">
        <v>778</v>
      </c>
      <c r="B53" s="3">
        <v>43600</v>
      </c>
      <c r="C53" s="2" t="s">
        <v>779</v>
      </c>
      <c r="D53" t="s">
        <v>6164</v>
      </c>
      <c r="E53" s="2">
        <v>4</v>
      </c>
      <c r="F53" s="2" t="str">
        <f>_xlfn.XLOOKUP(C53,customers!$A$1:$A$1001,customers!$B$1:$B$1001,,0)</f>
        <v>Karry Flanders</v>
      </c>
      <c r="G53" s="2" t="str">
        <f>IF(_xlfn.XLOOKUP(C53,customers!$A$1:$A$1001,customers!$C$1:$C$1001, ,0)=0,"",_xlfn.XLOOKUP(C53,customers!$A$1:$A$1001,customers!$C$1:$C$1001, ,0))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c r="Q53" s="5">
        <f>_xlfn.XLOOKUP(Orders[[#This Row],[Product ID]],products!$A$1:$A$49,products!$G$1:$G$49) *Orders[[#This Row],[Quantity]]</f>
        <v>18.956599999999998</v>
      </c>
    </row>
    <row r="54" spans="1:17" x14ac:dyDescent="0.25">
      <c r="A54" s="2" t="s">
        <v>784</v>
      </c>
      <c r="B54" s="3">
        <v>43719</v>
      </c>
      <c r="C54" s="2" t="s">
        <v>785</v>
      </c>
      <c r="D54" t="s">
        <v>6146</v>
      </c>
      <c r="E54" s="2">
        <v>5</v>
      </c>
      <c r="F54" s="2" t="str">
        <f>_xlfn.XLOOKUP(C54,customers!$A$1:$A$1001,customers!$B$1:$B$1001,,0)</f>
        <v>Hartley Mattioli</v>
      </c>
      <c r="G54" s="2" t="str">
        <f>IF(_xlfn.XLOOKUP(C54,customers!$A$1:$A$1001,customers!$C$1:$C$1001, ,0)=0,"",_xlfn.XLOOKUP(C54,customers!$A$1:$A$1001,customers!$C$1:$C$1001, ,0))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c r="Q54" s="5">
        <f>_xlfn.XLOOKUP(Orders[[#This Row],[Product ID]],products!$A$1:$A$49,products!$G$1:$G$49) *Orders[[#This Row],[Quantity]]</f>
        <v>1.7909999999999999</v>
      </c>
    </row>
    <row r="55" spans="1:17" x14ac:dyDescent="0.25">
      <c r="A55" s="2" t="s">
        <v>784</v>
      </c>
      <c r="B55" s="3">
        <v>43719</v>
      </c>
      <c r="C55" s="2" t="s">
        <v>785</v>
      </c>
      <c r="D55" t="s">
        <v>6164</v>
      </c>
      <c r="E55" s="2">
        <v>2</v>
      </c>
      <c r="F55" s="2" t="str">
        <f>_xlfn.XLOOKUP(C55,customers!$A$1:$A$1001,customers!$B$1:$B$1001,,0)</f>
        <v>Hartley Mattioli</v>
      </c>
      <c r="G55" s="2" t="str">
        <f>IF(_xlfn.XLOOKUP(C55,customers!$A$1:$A$1001,customers!$C$1:$C$1001, ,0)=0,"",_xlfn.XLOOKUP(C55,customers!$A$1:$A$1001,customers!$C$1:$C$1001, ,0))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c r="Q55" s="5">
        <f>_xlfn.XLOOKUP(Orders[[#This Row],[Product ID]],products!$A$1:$A$49,products!$G$1:$G$49) *Orders[[#This Row],[Quantity]]</f>
        <v>9.4782999999999991</v>
      </c>
    </row>
    <row r="56" spans="1:17" x14ac:dyDescent="0.25">
      <c r="A56" s="2" t="s">
        <v>794</v>
      </c>
      <c r="B56" s="3">
        <v>44271</v>
      </c>
      <c r="C56" s="2" t="s">
        <v>795</v>
      </c>
      <c r="D56" t="s">
        <v>6162</v>
      </c>
      <c r="E56" s="2">
        <v>5</v>
      </c>
      <c r="F56" s="2" t="str">
        <f>_xlfn.XLOOKUP(C56,customers!$A$1:$A$1001,customers!$B$1:$B$1001,,0)</f>
        <v>Archambault Gillard</v>
      </c>
      <c r="G56" s="2" t="str">
        <f>IF(_xlfn.XLOOKUP(C56,customers!$A$1:$A$1001,customers!$C$1:$C$1001, ,0)=0,"",_xlfn.XLOOKUP(C56,customers!$A$1:$A$1001,customers!$C$1:$C$1001, ,0))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c r="Q56" s="5">
        <f>_xlfn.XLOOKUP(Orders[[#This Row],[Product ID]],products!$A$1:$A$49,products!$G$1:$G$49) *Orders[[#This Row],[Quantity]]</f>
        <v>9.4575000000000014</v>
      </c>
    </row>
    <row r="57" spans="1:17" x14ac:dyDescent="0.25">
      <c r="A57" s="2" t="s">
        <v>800</v>
      </c>
      <c r="B57" s="3">
        <v>44168</v>
      </c>
      <c r="C57" s="2" t="s">
        <v>801</v>
      </c>
      <c r="D57" t="s">
        <v>6170</v>
      </c>
      <c r="E57" s="2">
        <v>3</v>
      </c>
      <c r="F57" s="2" t="str">
        <f>_xlfn.XLOOKUP(C57,customers!$A$1:$A$1001,customers!$B$1:$B$1001,,0)</f>
        <v>Salomo Cushworth</v>
      </c>
      <c r="G57" s="2" t="str">
        <f>IF(_xlfn.XLOOKUP(C57,customers!$A$1:$A$1001,customers!$C$1:$C$1001, ,0)=0,"",_xlfn.XLOOKUP(C57,customers!$A$1:$A$1001,customers!$C$1:$C$1001, ,0))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c r="Q57" s="5">
        <f>_xlfn.XLOOKUP(Orders[[#This Row],[Product ID]],products!$A$1:$A$49,products!$G$1:$G$49) *Orders[[#This Row],[Quantity]]</f>
        <v>6.1815000000000007</v>
      </c>
    </row>
    <row r="58" spans="1:17" x14ac:dyDescent="0.25">
      <c r="A58" s="2" t="s">
        <v>805</v>
      </c>
      <c r="B58" s="3">
        <v>43857</v>
      </c>
      <c r="C58" s="2" t="s">
        <v>806</v>
      </c>
      <c r="D58" t="s">
        <v>6153</v>
      </c>
      <c r="E58" s="2">
        <v>3</v>
      </c>
      <c r="F58" s="2" t="str">
        <f>_xlfn.XLOOKUP(C58,customers!$A$1:$A$1001,customers!$B$1:$B$1001,,0)</f>
        <v>Theda Grizard</v>
      </c>
      <c r="G58" s="2" t="str">
        <f>IF(_xlfn.XLOOKUP(C58,customers!$A$1:$A$1001,customers!$C$1:$C$1001, ,0)=0,"",_xlfn.XLOOKUP(C58,customers!$A$1:$A$1001,customers!$C$1:$C$1001, ,0))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c r="Q58" s="5">
        <f>_xlfn.XLOOKUP(Orders[[#This Row],[Product ID]],products!$A$1:$A$49,products!$G$1:$G$49) *Orders[[#This Row],[Quantity]]</f>
        <v>1.2028500000000002</v>
      </c>
    </row>
    <row r="59" spans="1:17" x14ac:dyDescent="0.25">
      <c r="A59" s="2" t="s">
        <v>811</v>
      </c>
      <c r="B59" s="3">
        <v>44759</v>
      </c>
      <c r="C59" s="2" t="s">
        <v>812</v>
      </c>
      <c r="D59" t="s">
        <v>6171</v>
      </c>
      <c r="E59" s="2">
        <v>4</v>
      </c>
      <c r="F59" s="2" t="str">
        <f>_xlfn.XLOOKUP(C59,customers!$A$1:$A$1001,customers!$B$1:$B$1001,,0)</f>
        <v>Rozele Relton</v>
      </c>
      <c r="G59" s="2" t="str">
        <f>IF(_xlfn.XLOOKUP(C59,customers!$A$1:$A$1001,customers!$C$1:$C$1001, ,0)=0,"",_xlfn.XLOOKUP(C59,customers!$A$1:$A$1001,customers!$C$1:$C$1001, ,0))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c r="Q59" s="5">
        <f>_xlfn.XLOOKUP(Orders[[#This Row],[Product ID]],products!$A$1:$A$49,products!$G$1:$G$49) *Orders[[#This Row],[Quantity]]</f>
        <v>6.5339999999999998</v>
      </c>
    </row>
    <row r="60" spans="1:17" x14ac:dyDescent="0.25">
      <c r="A60" s="2" t="s">
        <v>817</v>
      </c>
      <c r="B60" s="3">
        <v>44624</v>
      </c>
      <c r="C60" s="2" t="s">
        <v>818</v>
      </c>
      <c r="D60" t="s">
        <v>6165</v>
      </c>
      <c r="E60" s="2">
        <v>3</v>
      </c>
      <c r="F60" s="2" t="str">
        <f>_xlfn.XLOOKUP(C60,customers!$A$1:$A$1001,customers!$B$1:$B$1001,,0)</f>
        <v>Willa Rolling</v>
      </c>
      <c r="G60" s="2" t="str">
        <f>IF(_xlfn.XLOOKUP(C60,customers!$A$1:$A$1001,customers!$C$1:$C$1001, ,0)=0,"",_xlfn.XLOOKUP(C60,customers!$A$1:$A$1001,customers!$C$1:$C$1001, ,0))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c r="Q60" s="5">
        <f>_xlfn.XLOOKUP(Orders[[#This Row],[Product ID]],products!$A$1:$A$49,products!$G$1:$G$49) *Orders[[#This Row],[Quantity]]</f>
        <v>11.616149999999999</v>
      </c>
    </row>
    <row r="61" spans="1:17" x14ac:dyDescent="0.25">
      <c r="A61" s="2" t="s">
        <v>822</v>
      </c>
      <c r="B61" s="3">
        <v>44537</v>
      </c>
      <c r="C61" s="2" t="s">
        <v>823</v>
      </c>
      <c r="D61" t="s">
        <v>6160</v>
      </c>
      <c r="E61" s="2">
        <v>3</v>
      </c>
      <c r="F61" s="2" t="str">
        <f>_xlfn.XLOOKUP(C61,customers!$A$1:$A$1001,customers!$B$1:$B$1001,,0)</f>
        <v>Stanislaus Gilroy</v>
      </c>
      <c r="G61" s="2" t="str">
        <f>IF(_xlfn.XLOOKUP(C61,customers!$A$1:$A$1001,customers!$C$1:$C$1001, ,0)=0,"",_xlfn.XLOOKUP(C61,customers!$A$1:$A$1001,customers!$C$1:$C$1001, ,0))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c r="Q61" s="5">
        <f>_xlfn.XLOOKUP(Orders[[#This Row],[Product ID]],products!$A$1:$A$49,products!$G$1:$G$49) *Orders[[#This Row],[Quantity]]</f>
        <v>3.4047000000000001</v>
      </c>
    </row>
    <row r="62" spans="1:17" x14ac:dyDescent="0.25">
      <c r="A62" s="2" t="s">
        <v>827</v>
      </c>
      <c r="B62" s="3">
        <v>44252</v>
      </c>
      <c r="C62" s="2" t="s">
        <v>828</v>
      </c>
      <c r="D62" t="s">
        <v>6168</v>
      </c>
      <c r="E62" s="2">
        <v>5</v>
      </c>
      <c r="F62" s="2" t="str">
        <f>_xlfn.XLOOKUP(C62,customers!$A$1:$A$1001,customers!$B$1:$B$1001,,0)</f>
        <v>Correy Cottingham</v>
      </c>
      <c r="G62" s="2" t="str">
        <f>IF(_xlfn.XLOOKUP(C62,customers!$A$1:$A$1001,customers!$C$1:$C$1001, ,0)=0,"",_xlfn.XLOOKUP(C62,customers!$A$1:$A$1001,customers!$C$1:$C$1001, ,0))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c r="Q62" s="5">
        <f>_xlfn.XLOOKUP(Orders[[#This Row],[Product ID]],products!$A$1:$A$49,products!$G$1:$G$49) *Orders[[#This Row],[Quantity]]</f>
        <v>10.298249999999998</v>
      </c>
    </row>
    <row r="63" spans="1:17" x14ac:dyDescent="0.25">
      <c r="A63" s="2" t="s">
        <v>833</v>
      </c>
      <c r="B63" s="3">
        <v>43521</v>
      </c>
      <c r="C63" s="2" t="s">
        <v>834</v>
      </c>
      <c r="D63" t="s">
        <v>6172</v>
      </c>
      <c r="E63" s="2">
        <v>5</v>
      </c>
      <c r="F63" s="2" t="str">
        <f>_xlfn.XLOOKUP(C63,customers!$A$1:$A$1001,customers!$B$1:$B$1001,,0)</f>
        <v>Pammi Endacott</v>
      </c>
      <c r="G63" s="2" t="str">
        <f>IF(_xlfn.XLOOKUP(C63,customers!$A$1:$A$1001,customers!$C$1:$C$1001, ,0)=0,"",_xlfn.XLOOKUP(C63,customers!$A$1:$A$1001,customers!$C$1:$C$1001, ,0))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c r="Q63" s="5">
        <f>_xlfn.XLOOKUP(Orders[[#This Row],[Product ID]],products!$A$1:$A$49,products!$G$1:$G$49) *Orders[[#This Row],[Quantity]]</f>
        <v>1.6109999999999998</v>
      </c>
    </row>
    <row r="64" spans="1:17" x14ac:dyDescent="0.25">
      <c r="A64" s="2" t="s">
        <v>838</v>
      </c>
      <c r="B64" s="3">
        <v>43505</v>
      </c>
      <c r="C64" s="2" t="s">
        <v>839</v>
      </c>
      <c r="D64" t="s">
        <v>6145</v>
      </c>
      <c r="E64" s="2">
        <v>5</v>
      </c>
      <c r="F64" s="2" t="str">
        <f>_xlfn.XLOOKUP(C64,customers!$A$1:$A$1001,customers!$B$1:$B$1001,,0)</f>
        <v>Nona Linklater</v>
      </c>
      <c r="G64" s="2" t="str">
        <f>IF(_xlfn.XLOOKUP(C64,customers!$A$1:$A$1001,customers!$C$1:$C$1001, ,0)=0,"",_xlfn.XLOOKUP(C64,customers!$A$1:$A$1001,customers!$C$1:$C$1001, ,0))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c r="Q64" s="5">
        <f>_xlfn.XLOOKUP(Orders[[#This Row],[Product ID]],products!$A$1:$A$49,products!$G$1:$G$49) *Orders[[#This Row],[Quantity]]</f>
        <v>3.0907499999999999</v>
      </c>
    </row>
    <row r="65" spans="1:17" x14ac:dyDescent="0.25">
      <c r="A65" s="2" t="s">
        <v>843</v>
      </c>
      <c r="B65" s="3">
        <v>43868</v>
      </c>
      <c r="C65" s="2" t="s">
        <v>844</v>
      </c>
      <c r="D65" t="s">
        <v>6157</v>
      </c>
      <c r="E65" s="2">
        <v>1</v>
      </c>
      <c r="F65" s="2" t="str">
        <f>_xlfn.XLOOKUP(C65,customers!$A$1:$A$1001,customers!$B$1:$B$1001,,0)</f>
        <v>Annadiane Dykes</v>
      </c>
      <c r="G65" s="2" t="str">
        <f>IF(_xlfn.XLOOKUP(C65,customers!$A$1:$A$1001,customers!$C$1:$C$1001, ,0)=0,"",_xlfn.XLOOKUP(C65,customers!$A$1:$A$1001,customers!$C$1:$C$1001, ,0))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c r="Q65" s="5">
        <f>_xlfn.XLOOKUP(Orders[[#This Row],[Product ID]],products!$A$1:$A$49,products!$G$1:$G$49) *Orders[[#This Row],[Quantity]]</f>
        <v>0.60749999999999993</v>
      </c>
    </row>
    <row r="66" spans="1:17" x14ac:dyDescent="0.25">
      <c r="A66" s="2" t="s">
        <v>849</v>
      </c>
      <c r="B66" s="3">
        <v>43913</v>
      </c>
      <c r="C66" s="2" t="s">
        <v>850</v>
      </c>
      <c r="D66" t="s">
        <v>6146</v>
      </c>
      <c r="E66" s="2">
        <v>6</v>
      </c>
      <c r="F66" s="2" t="str">
        <f>_xlfn.XLOOKUP(C66,customers!$A$1:$A$1001,customers!$B$1:$B$1001,,0)</f>
        <v>Felecia Dodgson</v>
      </c>
      <c r="G66" s="2" t="str">
        <f>IF(_xlfn.XLOOKUP(C66,customers!$A$1:$A$1001,customers!$C$1:$C$1001, ,0)=0,"",_xlfn.XLOOKUP(C66,customers!$A$1:$A$1001,customers!$C$1:$C$1001, ,0))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c r="Q66" s="5">
        <f>_xlfn.XLOOKUP(Orders[[#This Row],[Product ID]],products!$A$1:$A$49,products!$G$1:$G$49) *Orders[[#This Row],[Quantity]]</f>
        <v>2.1491999999999996</v>
      </c>
    </row>
    <row r="67" spans="1:17" x14ac:dyDescent="0.25">
      <c r="A67" s="2" t="s">
        <v>854</v>
      </c>
      <c r="B67" s="3">
        <v>44626</v>
      </c>
      <c r="C67" s="2" t="s">
        <v>855</v>
      </c>
      <c r="D67" t="s">
        <v>6149</v>
      </c>
      <c r="E67" s="2">
        <v>4</v>
      </c>
      <c r="F67" s="2" t="str">
        <f>_xlfn.XLOOKUP(C67,customers!$A$1:$A$1001,customers!$B$1:$B$1001,,0)</f>
        <v>Angelia Cockrem</v>
      </c>
      <c r="G67" s="2" t="str">
        <f>IF(_xlfn.XLOOKUP(C67,customers!$A$1:$A$1001,customers!$C$1:$C$1001, ,0)=0,"",_xlfn.XLOOKUP(C67,customers!$A$1:$A$1001,customers!$C$1:$C$1001, ,0))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 = "Lib","Liberica"))))</f>
        <v>Robusta</v>
      </c>
      <c r="O67" t="str">
        <f t="shared" ref="O67:O130" si="5">IF(J67="L","Light",IF(J67="M","Medium",IF(J67="D","Dark")))</f>
        <v>Dark</v>
      </c>
      <c r="P67" t="str">
        <f>_xlfn.XLOOKUP(Orders[[#This Row],[Customer ID]],customers!$A$1:$A$1001,customers!$I$1:$I$1001,,0)</f>
        <v>Yes</v>
      </c>
      <c r="Q67" s="5">
        <f>_xlfn.XLOOKUP(Orders[[#This Row],[Product ID]],products!$A$1:$A$49,products!$G$1:$G$49) *Orders[[#This Row],[Quantity]]</f>
        <v>4.9403999999999995</v>
      </c>
    </row>
    <row r="68" spans="1:17" x14ac:dyDescent="0.25">
      <c r="A68" s="2" t="s">
        <v>860</v>
      </c>
      <c r="B68" s="3">
        <v>44666</v>
      </c>
      <c r="C68" s="2" t="s">
        <v>861</v>
      </c>
      <c r="D68" t="s">
        <v>6173</v>
      </c>
      <c r="E68" s="2">
        <v>1</v>
      </c>
      <c r="F68" s="2" t="str">
        <f>_xlfn.XLOOKUP(C68,customers!$A$1:$A$1001,customers!$B$1:$B$1001,,0)</f>
        <v>Belvia Umpleby</v>
      </c>
      <c r="G68" s="2" t="str">
        <f>IF(_xlfn.XLOOKUP(C68,customers!$A$1:$A$1001,customers!$C$1:$C$1001, ,0)=0,"",_xlfn.XLOOKUP(C68,customers!$A$1:$A$1001,customers!$C$1:$C$1001, ,0))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c r="Q68" s="5">
        <f>_xlfn.XLOOKUP(Orders[[#This Row],[Product ID]],products!$A$1:$A$49,products!$G$1:$G$49) *Orders[[#This Row],[Quantity]]</f>
        <v>0.43019999999999992</v>
      </c>
    </row>
    <row r="69" spans="1:17" x14ac:dyDescent="0.25">
      <c r="A69" s="2" t="s">
        <v>866</v>
      </c>
      <c r="B69" s="3">
        <v>44519</v>
      </c>
      <c r="C69" s="2" t="s">
        <v>867</v>
      </c>
      <c r="D69" t="s">
        <v>6145</v>
      </c>
      <c r="E69" s="2">
        <v>2</v>
      </c>
      <c r="F69" s="2" t="str">
        <f>_xlfn.XLOOKUP(C69,customers!$A$1:$A$1001,customers!$B$1:$B$1001,,0)</f>
        <v>Nat Saleway</v>
      </c>
      <c r="G69" s="2" t="str">
        <f>IF(_xlfn.XLOOKUP(C69,customers!$A$1:$A$1001,customers!$C$1:$C$1001, ,0)=0,"",_xlfn.XLOOKUP(C69,customers!$A$1:$A$1001,customers!$C$1:$C$1001, ,0))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c r="Q69" s="5">
        <f>_xlfn.XLOOKUP(Orders[[#This Row],[Product ID]],products!$A$1:$A$49,products!$G$1:$G$49) *Orders[[#This Row],[Quantity]]</f>
        <v>1.2363</v>
      </c>
    </row>
    <row r="70" spans="1:17" x14ac:dyDescent="0.25">
      <c r="A70" s="2" t="s">
        <v>872</v>
      </c>
      <c r="B70" s="3">
        <v>43754</v>
      </c>
      <c r="C70" s="2" t="s">
        <v>873</v>
      </c>
      <c r="D70" t="s">
        <v>6174</v>
      </c>
      <c r="E70" s="2">
        <v>1</v>
      </c>
      <c r="F70" s="2" t="str">
        <f>_xlfn.XLOOKUP(C70,customers!$A$1:$A$1001,customers!$B$1:$B$1001,,0)</f>
        <v>Hayward Goulter</v>
      </c>
      <c r="G70" s="2" t="str">
        <f>IF(_xlfn.XLOOKUP(C70,customers!$A$1:$A$1001,customers!$C$1:$C$1001, ,0)=0,"",_xlfn.XLOOKUP(C70,customers!$A$1:$A$1001,customers!$C$1:$C$1001, ,0))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c r="Q70" s="5">
        <f>_xlfn.XLOOKUP(Orders[[#This Row],[Product ID]],products!$A$1:$A$49,products!$G$1:$G$49) *Orders[[#This Row],[Quantity]]</f>
        <v>0.17909999999999998</v>
      </c>
    </row>
    <row r="71" spans="1:17" x14ac:dyDescent="0.25">
      <c r="A71" s="2" t="s">
        <v>878</v>
      </c>
      <c r="B71" s="3">
        <v>43795</v>
      </c>
      <c r="C71" s="2" t="s">
        <v>879</v>
      </c>
      <c r="D71" t="s">
        <v>6138</v>
      </c>
      <c r="E71" s="2">
        <v>6</v>
      </c>
      <c r="F71" s="2" t="str">
        <f>_xlfn.XLOOKUP(C71,customers!$A$1:$A$1001,customers!$B$1:$B$1001,,0)</f>
        <v>Gay Rizzello</v>
      </c>
      <c r="G71" s="2" t="str">
        <f>IF(_xlfn.XLOOKUP(C71,customers!$A$1:$A$1001,customers!$C$1:$C$1001, ,0)=0,"",_xlfn.XLOOKUP(C71,customers!$A$1:$A$1001,customers!$C$1:$C$1001, ,0))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c r="Q71" s="5">
        <f>_xlfn.XLOOKUP(Orders[[#This Row],[Product ID]],products!$A$1:$A$49,products!$G$1:$G$49) *Orders[[#This Row],[Quantity]]</f>
        <v>3.5819999999999999</v>
      </c>
    </row>
    <row r="72" spans="1:17" x14ac:dyDescent="0.25">
      <c r="A72" s="2" t="s">
        <v>885</v>
      </c>
      <c r="B72" s="3">
        <v>43646</v>
      </c>
      <c r="C72" s="2" t="s">
        <v>886</v>
      </c>
      <c r="D72" t="s">
        <v>6148</v>
      </c>
      <c r="E72" s="2">
        <v>4</v>
      </c>
      <c r="F72" s="2" t="str">
        <f>_xlfn.XLOOKUP(C72,customers!$A$1:$A$1001,customers!$B$1:$B$1001,,0)</f>
        <v>Shannon List</v>
      </c>
      <c r="G72" s="2" t="str">
        <f>IF(_xlfn.XLOOKUP(C72,customers!$A$1:$A$1001,customers!$C$1:$C$1001, ,0)=0,"",_xlfn.XLOOKUP(C72,customers!$A$1:$A$1001,customers!$C$1:$C$1001, ,0))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c r="Q72" s="5">
        <f>_xlfn.XLOOKUP(Orders[[#This Row],[Product ID]],products!$A$1:$A$49,products!$G$1:$G$49) *Orders[[#This Row],[Quantity]]</f>
        <v>15.028199999999998</v>
      </c>
    </row>
    <row r="73" spans="1:17" x14ac:dyDescent="0.25">
      <c r="A73" s="2" t="s">
        <v>891</v>
      </c>
      <c r="B73" s="3">
        <v>44200</v>
      </c>
      <c r="C73" s="2" t="s">
        <v>892</v>
      </c>
      <c r="D73" t="s">
        <v>6145</v>
      </c>
      <c r="E73" s="2">
        <v>2</v>
      </c>
      <c r="F73" s="2" t="str">
        <f>_xlfn.XLOOKUP(C73,customers!$A$1:$A$1001,customers!$B$1:$B$1001,,0)</f>
        <v>Shirlene Edmondson</v>
      </c>
      <c r="G73" s="2" t="str">
        <f>IF(_xlfn.XLOOKUP(C73,customers!$A$1:$A$1001,customers!$C$1:$C$1001, ,0)=0,"",_xlfn.XLOOKUP(C73,customers!$A$1:$A$1001,customers!$C$1:$C$1001, ,0))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c r="Q73" s="5">
        <f>_xlfn.XLOOKUP(Orders[[#This Row],[Product ID]],products!$A$1:$A$49,products!$G$1:$G$49) *Orders[[#This Row],[Quantity]]</f>
        <v>1.2363</v>
      </c>
    </row>
    <row r="74" spans="1:17" x14ac:dyDescent="0.25">
      <c r="A74" s="2" t="s">
        <v>897</v>
      </c>
      <c r="B74" s="3">
        <v>44131</v>
      </c>
      <c r="C74" s="2" t="s">
        <v>898</v>
      </c>
      <c r="D74" t="s">
        <v>6175</v>
      </c>
      <c r="E74" s="2">
        <v>3</v>
      </c>
      <c r="F74" s="2" t="str">
        <f>_xlfn.XLOOKUP(C74,customers!$A$1:$A$1001,customers!$B$1:$B$1001,,0)</f>
        <v>Aurlie McCarl</v>
      </c>
      <c r="G74" s="2" t="str">
        <f>IF(_xlfn.XLOOKUP(C74,customers!$A$1:$A$1001,customers!$C$1:$C$1001, ,0)=0,"",_xlfn.XLOOKUP(C74,customers!$A$1:$A$1001,customers!$C$1:$C$1001, ,0))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c r="Q74" s="5">
        <f>_xlfn.XLOOKUP(Orders[[#This Row],[Product ID]],products!$A$1:$A$49,products!$G$1:$G$49) *Orders[[#This Row],[Quantity]]</f>
        <v>6.9862499999999983</v>
      </c>
    </row>
    <row r="75" spans="1:17" x14ac:dyDescent="0.25">
      <c r="A75" s="2" t="s">
        <v>902</v>
      </c>
      <c r="B75" s="3">
        <v>44362</v>
      </c>
      <c r="C75" s="2" t="s">
        <v>903</v>
      </c>
      <c r="D75" t="s">
        <v>6159</v>
      </c>
      <c r="E75" s="2">
        <v>5</v>
      </c>
      <c r="F75" s="2" t="str">
        <f>_xlfn.XLOOKUP(C75,customers!$A$1:$A$1001,customers!$B$1:$B$1001,,0)</f>
        <v>Alikee Carryer</v>
      </c>
      <c r="G75" s="2" t="str">
        <f>IF(_xlfn.XLOOKUP(C75,customers!$A$1:$A$1001,customers!$C$1:$C$1001, ,0)=0,"",_xlfn.XLOOKUP(C75,customers!$A$1:$A$1001,customers!$C$1:$C$1001, ,0))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c r="Q75" s="5">
        <f>_xlfn.XLOOKUP(Orders[[#This Row],[Product ID]],products!$A$1:$A$49,products!$G$1:$G$49) *Orders[[#This Row],[Quantity]]</f>
        <v>2.83725</v>
      </c>
    </row>
    <row r="76" spans="1:17" x14ac:dyDescent="0.25">
      <c r="A76" s="2" t="s">
        <v>907</v>
      </c>
      <c r="B76" s="3">
        <v>44396</v>
      </c>
      <c r="C76" s="2" t="s">
        <v>908</v>
      </c>
      <c r="D76" t="s">
        <v>6176</v>
      </c>
      <c r="E76" s="2">
        <v>2</v>
      </c>
      <c r="F76" s="2" t="str">
        <f>_xlfn.XLOOKUP(C76,customers!$A$1:$A$1001,customers!$B$1:$B$1001,,0)</f>
        <v>Jennifer Rangall</v>
      </c>
      <c r="G76" s="2" t="str">
        <f>IF(_xlfn.XLOOKUP(C76,customers!$A$1:$A$1001,customers!$C$1:$C$1001, ,0)=0,"",_xlfn.XLOOKUP(C76,customers!$A$1:$A$1001,customers!$C$1:$C$1001, ,0))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c r="Q76" s="5">
        <f>_xlfn.XLOOKUP(Orders[[#This Row],[Product ID]],products!$A$1:$A$49,products!$G$1:$G$49) *Orders[[#This Row],[Quantity]]</f>
        <v>1.9601999999999999</v>
      </c>
    </row>
    <row r="77" spans="1:17" x14ac:dyDescent="0.25">
      <c r="A77" s="2" t="s">
        <v>913</v>
      </c>
      <c r="B77" s="3">
        <v>44400</v>
      </c>
      <c r="C77" s="2" t="s">
        <v>914</v>
      </c>
      <c r="D77" t="s">
        <v>6177</v>
      </c>
      <c r="E77" s="2">
        <v>6</v>
      </c>
      <c r="F77" s="2" t="str">
        <f>_xlfn.XLOOKUP(C77,customers!$A$1:$A$1001,customers!$B$1:$B$1001,,0)</f>
        <v>Kipper Boorn</v>
      </c>
      <c r="G77" s="2" t="str">
        <f>IF(_xlfn.XLOOKUP(C77,customers!$A$1:$A$1001,customers!$C$1:$C$1001, ,0)=0,"",_xlfn.XLOOKUP(C77,customers!$A$1:$A$1001,customers!$C$1:$C$1001, ,0))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c r="Q77" s="5">
        <f>_xlfn.XLOOKUP(Orders[[#This Row],[Product ID]],products!$A$1:$A$49,products!$G$1:$G$49) *Orders[[#This Row],[Quantity]]</f>
        <v>3.2219999999999995</v>
      </c>
    </row>
    <row r="78" spans="1:17" x14ac:dyDescent="0.25">
      <c r="A78" s="2" t="s">
        <v>919</v>
      </c>
      <c r="B78" s="3">
        <v>43855</v>
      </c>
      <c r="C78" s="2" t="s">
        <v>920</v>
      </c>
      <c r="D78" t="s">
        <v>6178</v>
      </c>
      <c r="E78" s="2">
        <v>1</v>
      </c>
      <c r="F78" s="2" t="str">
        <f>_xlfn.XLOOKUP(C78,customers!$A$1:$A$1001,customers!$B$1:$B$1001,,0)</f>
        <v>Melania Beadle</v>
      </c>
      <c r="G78" s="2" t="str">
        <f>IF(_xlfn.XLOOKUP(C78,customers!$A$1:$A$1001,customers!$C$1:$C$1001, ,0)=0,"",_xlfn.XLOOKUP(C78,customers!$A$1:$A$1001,customers!$C$1:$C$1001, ,0))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c r="Q78" s="5">
        <f>_xlfn.XLOOKUP(Orders[[#This Row],[Product ID]],products!$A$1:$A$49,products!$G$1:$G$49) *Orders[[#This Row],[Quantity]]</f>
        <v>0.21509999999999996</v>
      </c>
    </row>
    <row r="79" spans="1:17" x14ac:dyDescent="0.25">
      <c r="A79" s="2" t="s">
        <v>924</v>
      </c>
      <c r="B79" s="3">
        <v>43594</v>
      </c>
      <c r="C79" s="2" t="s">
        <v>925</v>
      </c>
      <c r="D79" t="s">
        <v>6153</v>
      </c>
      <c r="E79" s="2">
        <v>2</v>
      </c>
      <c r="F79" s="2" t="str">
        <f>_xlfn.XLOOKUP(C79,customers!$A$1:$A$1001,customers!$B$1:$B$1001,,0)</f>
        <v>Colene Elgey</v>
      </c>
      <c r="G79" s="2" t="str">
        <f>IF(_xlfn.XLOOKUP(C79,customers!$A$1:$A$1001,customers!$C$1:$C$1001, ,0)=0,"",_xlfn.XLOOKUP(C79,customers!$A$1:$A$1001,customers!$C$1:$C$1001, ,0))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c r="Q79" s="5">
        <f>_xlfn.XLOOKUP(Orders[[#This Row],[Product ID]],products!$A$1:$A$49,products!$G$1:$G$49) *Orders[[#This Row],[Quantity]]</f>
        <v>0.80190000000000006</v>
      </c>
    </row>
    <row r="80" spans="1:17" x14ac:dyDescent="0.25">
      <c r="A80" s="2" t="s">
        <v>930</v>
      </c>
      <c r="B80" s="3">
        <v>43920</v>
      </c>
      <c r="C80" s="2" t="s">
        <v>931</v>
      </c>
      <c r="D80" t="s">
        <v>6157</v>
      </c>
      <c r="E80" s="2">
        <v>6</v>
      </c>
      <c r="F80" s="2" t="str">
        <f>_xlfn.XLOOKUP(C80,customers!$A$1:$A$1001,customers!$B$1:$B$1001,,0)</f>
        <v>Lothaire Mizzi</v>
      </c>
      <c r="G80" s="2" t="str">
        <f>IF(_xlfn.XLOOKUP(C80,customers!$A$1:$A$1001,customers!$C$1:$C$1001, ,0)=0,"",_xlfn.XLOOKUP(C80,customers!$A$1:$A$1001,customers!$C$1:$C$1001, ,0))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c r="Q80" s="5">
        <f>_xlfn.XLOOKUP(Orders[[#This Row],[Product ID]],products!$A$1:$A$49,products!$G$1:$G$49) *Orders[[#This Row],[Quantity]]</f>
        <v>3.6449999999999996</v>
      </c>
    </row>
    <row r="81" spans="1:17" x14ac:dyDescent="0.25">
      <c r="A81" s="2" t="s">
        <v>936</v>
      </c>
      <c r="B81" s="3">
        <v>44633</v>
      </c>
      <c r="C81" s="2" t="s">
        <v>937</v>
      </c>
      <c r="D81" t="s">
        <v>6179</v>
      </c>
      <c r="E81" s="2">
        <v>4</v>
      </c>
      <c r="F81" s="2" t="str">
        <f>_xlfn.XLOOKUP(C81,customers!$A$1:$A$1001,customers!$B$1:$B$1001,,0)</f>
        <v>Cletis Giacomazzo</v>
      </c>
      <c r="G81" s="2" t="str">
        <f>IF(_xlfn.XLOOKUP(C81,customers!$A$1:$A$1001,customers!$C$1:$C$1001, ,0)=0,"",_xlfn.XLOOKUP(C81,customers!$A$1:$A$1001,customers!$C$1:$C$1001, ,0))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c r="Q81" s="5">
        <f>_xlfn.XLOOKUP(Orders[[#This Row],[Product ID]],products!$A$1:$A$49,products!$G$1:$G$49) *Orders[[#This Row],[Quantity]]</f>
        <v>2.8679999999999999</v>
      </c>
    </row>
    <row r="82" spans="1:17" x14ac:dyDescent="0.25">
      <c r="A82" s="2" t="s">
        <v>942</v>
      </c>
      <c r="B82" s="3">
        <v>43572</v>
      </c>
      <c r="C82" s="2" t="s">
        <v>943</v>
      </c>
      <c r="D82" t="s">
        <v>6180</v>
      </c>
      <c r="E82" s="2">
        <v>5</v>
      </c>
      <c r="F82" s="2" t="str">
        <f>_xlfn.XLOOKUP(C82,customers!$A$1:$A$1001,customers!$B$1:$B$1001,,0)</f>
        <v>Ami Arnow</v>
      </c>
      <c r="G82" s="2" t="str">
        <f>IF(_xlfn.XLOOKUP(C82,customers!$A$1:$A$1001,customers!$C$1:$C$1001, ,0)=0,"",_xlfn.XLOOKUP(C82,customers!$A$1:$A$1001,customers!$C$1:$C$1001, ,0))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c r="Q82" s="5">
        <f>_xlfn.XLOOKUP(Orders[[#This Row],[Product ID]],products!$A$1:$A$49,products!$G$1:$G$49) *Orders[[#This Row],[Quantity]]</f>
        <v>3.4964999999999997</v>
      </c>
    </row>
    <row r="83" spans="1:17" x14ac:dyDescent="0.25">
      <c r="A83" s="2" t="s">
        <v>948</v>
      </c>
      <c r="B83" s="3">
        <v>43763</v>
      </c>
      <c r="C83" s="2" t="s">
        <v>949</v>
      </c>
      <c r="D83" t="s">
        <v>6164</v>
      </c>
      <c r="E83" s="2">
        <v>3</v>
      </c>
      <c r="F83" s="2" t="str">
        <f>_xlfn.XLOOKUP(C83,customers!$A$1:$A$1001,customers!$B$1:$B$1001,,0)</f>
        <v>Sheppard Yann</v>
      </c>
      <c r="G83" s="2" t="str">
        <f>IF(_xlfn.XLOOKUP(C83,customers!$A$1:$A$1001,customers!$C$1:$C$1001, ,0)=0,"",_xlfn.XLOOKUP(C83,customers!$A$1:$A$1001,customers!$C$1:$C$1001, ,0))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c r="Q83" s="5">
        <f>_xlfn.XLOOKUP(Orders[[#This Row],[Product ID]],products!$A$1:$A$49,products!$G$1:$G$49) *Orders[[#This Row],[Quantity]]</f>
        <v>14.217449999999999</v>
      </c>
    </row>
    <row r="84" spans="1:17" x14ac:dyDescent="0.25">
      <c r="A84" s="2" t="s">
        <v>954</v>
      </c>
      <c r="B84" s="3">
        <v>43721</v>
      </c>
      <c r="C84" s="2" t="s">
        <v>955</v>
      </c>
      <c r="D84" t="s">
        <v>6181</v>
      </c>
      <c r="E84" s="2">
        <v>3</v>
      </c>
      <c r="F84" s="2" t="str">
        <f>_xlfn.XLOOKUP(C84,customers!$A$1:$A$1001,customers!$B$1:$B$1001,,0)</f>
        <v>Bunny Naulls</v>
      </c>
      <c r="G84" s="2" t="str">
        <f>IF(_xlfn.XLOOKUP(C84,customers!$A$1:$A$1001,customers!$C$1:$C$1001, ,0)=0,"",_xlfn.XLOOKUP(C84,customers!$A$1:$A$1001,customers!$C$1:$C$1001, ,0))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c r="Q84" s="5">
        <f>_xlfn.XLOOKUP(Orders[[#This Row],[Product ID]],products!$A$1:$A$49,products!$G$1:$G$49) *Orders[[#This Row],[Quantity]]</f>
        <v>13.051349999999999</v>
      </c>
    </row>
    <row r="85" spans="1:17" x14ac:dyDescent="0.25">
      <c r="A85" s="2" t="s">
        <v>960</v>
      </c>
      <c r="B85" s="3">
        <v>43933</v>
      </c>
      <c r="C85" s="2" t="s">
        <v>961</v>
      </c>
      <c r="D85" t="s">
        <v>6149</v>
      </c>
      <c r="E85" s="2">
        <v>4</v>
      </c>
      <c r="F85" s="2" t="str">
        <f>_xlfn.XLOOKUP(C85,customers!$A$1:$A$1001,customers!$B$1:$B$1001,,0)</f>
        <v>Hally Lorait</v>
      </c>
      <c r="G85" s="2" t="str">
        <f>IF(_xlfn.XLOOKUP(C85,customers!$A$1:$A$1001,customers!$C$1:$C$1001, ,0)=0,"",_xlfn.XLOOKUP(C85,customers!$A$1:$A$1001,customers!$C$1:$C$1001, ,0))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c r="Q85" s="5">
        <f>_xlfn.XLOOKUP(Orders[[#This Row],[Product ID]],products!$A$1:$A$49,products!$G$1:$G$49) *Orders[[#This Row],[Quantity]]</f>
        <v>4.9403999999999995</v>
      </c>
    </row>
    <row r="86" spans="1:17" x14ac:dyDescent="0.25">
      <c r="A86" s="2" t="s">
        <v>965</v>
      </c>
      <c r="B86" s="3">
        <v>43783</v>
      </c>
      <c r="C86" s="2" t="s">
        <v>966</v>
      </c>
      <c r="D86" t="s">
        <v>6161</v>
      </c>
      <c r="E86" s="2">
        <v>1</v>
      </c>
      <c r="F86" s="2" t="str">
        <f>_xlfn.XLOOKUP(C86,customers!$A$1:$A$1001,customers!$B$1:$B$1001,,0)</f>
        <v>Zaccaria Sherewood</v>
      </c>
      <c r="G86" s="2" t="str">
        <f>IF(_xlfn.XLOOKUP(C86,customers!$A$1:$A$1001,customers!$C$1:$C$1001, ,0)=0,"",_xlfn.XLOOKUP(C86,customers!$A$1:$A$1001,customers!$C$1:$C$1001, ,0))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c r="Q86" s="5">
        <f>_xlfn.XLOOKUP(Orders[[#This Row],[Product ID]],products!$A$1:$A$49,products!$G$1:$G$49) *Orders[[#This Row],[Quantity]]</f>
        <v>1.2363</v>
      </c>
    </row>
    <row r="87" spans="1:17" x14ac:dyDescent="0.25">
      <c r="A87" s="2" t="s">
        <v>971</v>
      </c>
      <c r="B87" s="3">
        <v>43664</v>
      </c>
      <c r="C87" s="2" t="s">
        <v>972</v>
      </c>
      <c r="D87" t="s">
        <v>6182</v>
      </c>
      <c r="E87" s="2">
        <v>3</v>
      </c>
      <c r="F87" s="2" t="str">
        <f>_xlfn.XLOOKUP(C87,customers!$A$1:$A$1001,customers!$B$1:$B$1001,,0)</f>
        <v>Jeffrey Dufaire</v>
      </c>
      <c r="G87" s="2" t="str">
        <f>IF(_xlfn.XLOOKUP(C87,customers!$A$1:$A$1001,customers!$C$1:$C$1001, ,0)=0,"",_xlfn.XLOOKUP(C87,customers!$A$1:$A$1001,customers!$C$1:$C$1001, ,0))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c r="Q87" s="5">
        <f>_xlfn.XLOOKUP(Orders[[#This Row],[Product ID]],products!$A$1:$A$49,products!$G$1:$G$49) *Orders[[#This Row],[Quantity]]</f>
        <v>8.0419499999999982</v>
      </c>
    </row>
    <row r="88" spans="1:17" x14ac:dyDescent="0.25">
      <c r="A88" s="2" t="s">
        <v>971</v>
      </c>
      <c r="B88" s="3">
        <v>43664</v>
      </c>
      <c r="C88" s="2" t="s">
        <v>972</v>
      </c>
      <c r="D88" t="s">
        <v>6154</v>
      </c>
      <c r="E88" s="2">
        <v>4</v>
      </c>
      <c r="F88" s="2" t="str">
        <f>_xlfn.XLOOKUP(C88,customers!$A$1:$A$1001,customers!$B$1:$B$1001,,0)</f>
        <v>Jeffrey Dufaire</v>
      </c>
      <c r="G88" s="2" t="str">
        <f>IF(_xlfn.XLOOKUP(C88,customers!$A$1:$A$1001,customers!$C$1:$C$1001, ,0)=0,"",_xlfn.XLOOKUP(C88,customers!$A$1:$A$1001,customers!$C$1:$C$1001, ,0))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c r="Q88" s="5">
        <f>_xlfn.XLOOKUP(Orders[[#This Row],[Product ID]],products!$A$1:$A$49,products!$G$1:$G$49) *Orders[[#This Row],[Quantity]]</f>
        <v>1.0746</v>
      </c>
    </row>
    <row r="89" spans="1:17" x14ac:dyDescent="0.25">
      <c r="A89" s="2" t="s">
        <v>980</v>
      </c>
      <c r="B89" s="3">
        <v>44289</v>
      </c>
      <c r="C89" s="2" t="s">
        <v>981</v>
      </c>
      <c r="D89" t="s">
        <v>6155</v>
      </c>
      <c r="E89" s="2">
        <v>3</v>
      </c>
      <c r="F89" s="2" t="str">
        <f>_xlfn.XLOOKUP(C89,customers!$A$1:$A$1001,customers!$B$1:$B$1001,,0)</f>
        <v>Beitris Keaveney</v>
      </c>
      <c r="G89" s="2" t="str">
        <f>IF(_xlfn.XLOOKUP(C89,customers!$A$1:$A$1001,customers!$C$1:$C$1001, ,0)=0,"",_xlfn.XLOOKUP(C89,customers!$A$1:$A$1001,customers!$C$1:$C$1001, ,0))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c r="Q89" s="5">
        <f>_xlfn.XLOOKUP(Orders[[#This Row],[Product ID]],products!$A$1:$A$49,products!$G$1:$G$49) *Orders[[#This Row],[Quantity]]</f>
        <v>3.0374999999999996</v>
      </c>
    </row>
    <row r="90" spans="1:17" x14ac:dyDescent="0.25">
      <c r="A90" s="2" t="s">
        <v>985</v>
      </c>
      <c r="B90" s="3">
        <v>44284</v>
      </c>
      <c r="C90" s="2" t="s">
        <v>986</v>
      </c>
      <c r="D90" t="s">
        <v>6179</v>
      </c>
      <c r="E90" s="2">
        <v>3</v>
      </c>
      <c r="F90" s="2" t="str">
        <f>_xlfn.XLOOKUP(C90,customers!$A$1:$A$1001,customers!$B$1:$B$1001,,0)</f>
        <v>Elna Grise</v>
      </c>
      <c r="G90" s="2" t="str">
        <f>IF(_xlfn.XLOOKUP(C90,customers!$A$1:$A$1001,customers!$C$1:$C$1001, ,0)=0,"",_xlfn.XLOOKUP(C90,customers!$A$1:$A$1001,customers!$C$1:$C$1001, ,0))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c r="Q90" s="5">
        <f>_xlfn.XLOOKUP(Orders[[#This Row],[Product ID]],products!$A$1:$A$49,products!$G$1:$G$49) *Orders[[#This Row],[Quantity]]</f>
        <v>2.1509999999999998</v>
      </c>
    </row>
    <row r="91" spans="1:17" x14ac:dyDescent="0.25">
      <c r="A91" s="2" t="s">
        <v>990</v>
      </c>
      <c r="B91" s="3">
        <v>44545</v>
      </c>
      <c r="C91" s="2" t="s">
        <v>991</v>
      </c>
      <c r="D91" t="s">
        <v>6140</v>
      </c>
      <c r="E91" s="2">
        <v>6</v>
      </c>
      <c r="F91" s="2" t="str">
        <f>_xlfn.XLOOKUP(C91,customers!$A$1:$A$1001,customers!$B$1:$B$1001,,0)</f>
        <v>Torie Gottelier</v>
      </c>
      <c r="G91" s="2" t="str">
        <f>IF(_xlfn.XLOOKUP(C91,customers!$A$1:$A$1001,customers!$C$1:$C$1001, ,0)=0,"",_xlfn.XLOOKUP(C91,customers!$A$1:$A$1001,customers!$C$1:$C$1001, ,0))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c r="Q91" s="5">
        <f>_xlfn.XLOOKUP(Orders[[#This Row],[Product ID]],products!$A$1:$A$49,products!$G$1:$G$49) *Orders[[#This Row],[Quantity]]</f>
        <v>6.9930000000000003</v>
      </c>
    </row>
    <row r="92" spans="1:17" x14ac:dyDescent="0.25">
      <c r="A92" s="2" t="s">
        <v>996</v>
      </c>
      <c r="B92" s="3">
        <v>43971</v>
      </c>
      <c r="C92" s="2" t="s">
        <v>997</v>
      </c>
      <c r="D92" t="s">
        <v>6140</v>
      </c>
      <c r="E92" s="2">
        <v>4</v>
      </c>
      <c r="F92" s="2" t="str">
        <f>_xlfn.XLOOKUP(C92,customers!$A$1:$A$1001,customers!$B$1:$B$1001,,0)</f>
        <v>Loydie Langlais</v>
      </c>
      <c r="G92" s="2" t="str">
        <f>IF(_xlfn.XLOOKUP(C92,customers!$A$1:$A$1001,customers!$C$1:$C$1001, ,0)=0,"",_xlfn.XLOOKUP(C92,customers!$A$1:$A$1001,customers!$C$1:$C$1001, ,0))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c r="Q92" s="5">
        <f>_xlfn.XLOOKUP(Orders[[#This Row],[Product ID]],products!$A$1:$A$49,products!$G$1:$G$49) *Orders[[#This Row],[Quantity]]</f>
        <v>4.6619999999999999</v>
      </c>
    </row>
    <row r="93" spans="1:17" x14ac:dyDescent="0.25">
      <c r="A93" s="2" t="s">
        <v>1001</v>
      </c>
      <c r="B93" s="3">
        <v>44137</v>
      </c>
      <c r="C93" s="2" t="s">
        <v>1002</v>
      </c>
      <c r="D93" t="s">
        <v>6175</v>
      </c>
      <c r="E93" s="2">
        <v>4</v>
      </c>
      <c r="F93" s="2" t="str">
        <f>_xlfn.XLOOKUP(C93,customers!$A$1:$A$1001,customers!$B$1:$B$1001,,0)</f>
        <v>Adham Greenhead</v>
      </c>
      <c r="G93" s="2" t="str">
        <f>IF(_xlfn.XLOOKUP(C93,customers!$A$1:$A$1001,customers!$C$1:$C$1001, ,0)=0,"",_xlfn.XLOOKUP(C93,customers!$A$1:$A$1001,customers!$C$1:$C$1001, ,0))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c r="Q93" s="5">
        <f>_xlfn.XLOOKUP(Orders[[#This Row],[Product ID]],products!$A$1:$A$49,products!$G$1:$G$49) *Orders[[#This Row],[Quantity]]</f>
        <v>9.3149999999999977</v>
      </c>
    </row>
    <row r="94" spans="1:17" x14ac:dyDescent="0.25">
      <c r="A94" s="2" t="s">
        <v>1007</v>
      </c>
      <c r="B94" s="3">
        <v>44037</v>
      </c>
      <c r="C94" s="2" t="s">
        <v>1008</v>
      </c>
      <c r="D94" t="s">
        <v>6171</v>
      </c>
      <c r="E94" s="2">
        <v>3</v>
      </c>
      <c r="F94" s="2" t="str">
        <f>_xlfn.XLOOKUP(C94,customers!$A$1:$A$1001,customers!$B$1:$B$1001,,0)</f>
        <v>Hamish MacSherry</v>
      </c>
      <c r="G94" s="2" t="str">
        <f>IF(_xlfn.XLOOKUP(C94,customers!$A$1:$A$1001,customers!$C$1:$C$1001, ,0)=0,"",_xlfn.XLOOKUP(C94,customers!$A$1:$A$1001,customers!$C$1:$C$1001, ,0))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c r="Q94" s="5">
        <f>_xlfn.XLOOKUP(Orders[[#This Row],[Product ID]],products!$A$1:$A$49,products!$G$1:$G$49) *Orders[[#This Row],[Quantity]]</f>
        <v>4.9005000000000001</v>
      </c>
    </row>
    <row r="95" spans="1:17" x14ac:dyDescent="0.25">
      <c r="A95" s="2" t="s">
        <v>1012</v>
      </c>
      <c r="B95" s="3">
        <v>43538</v>
      </c>
      <c r="C95" s="2" t="s">
        <v>1013</v>
      </c>
      <c r="D95" t="s">
        <v>6176</v>
      </c>
      <c r="E95" s="2">
        <v>4</v>
      </c>
      <c r="F95" s="2" t="str">
        <f>_xlfn.XLOOKUP(C95,customers!$A$1:$A$1001,customers!$B$1:$B$1001,,0)</f>
        <v>Else Langcaster</v>
      </c>
      <c r="G95" s="2" t="str">
        <f>IF(_xlfn.XLOOKUP(C95,customers!$A$1:$A$1001,customers!$C$1:$C$1001, ,0)=0,"",_xlfn.XLOOKUP(C95,customers!$A$1:$A$1001,customers!$C$1:$C$1001, ,0))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c r="Q95" s="5">
        <f>_xlfn.XLOOKUP(Orders[[#This Row],[Product ID]],products!$A$1:$A$49,products!$G$1:$G$49) *Orders[[#This Row],[Quantity]]</f>
        <v>3.9203999999999999</v>
      </c>
    </row>
    <row r="96" spans="1:17" x14ac:dyDescent="0.25">
      <c r="A96" s="2" t="s">
        <v>1018</v>
      </c>
      <c r="B96" s="3">
        <v>44014</v>
      </c>
      <c r="C96" s="2" t="s">
        <v>1019</v>
      </c>
      <c r="D96" t="s">
        <v>6154</v>
      </c>
      <c r="E96" s="2">
        <v>6</v>
      </c>
      <c r="F96" s="2" t="str">
        <f>_xlfn.XLOOKUP(C96,customers!$A$1:$A$1001,customers!$B$1:$B$1001,,0)</f>
        <v>Rudy Farquharson</v>
      </c>
      <c r="G96" s="2" t="str">
        <f>IF(_xlfn.XLOOKUP(C96,customers!$A$1:$A$1001,customers!$C$1:$C$1001, ,0)=0,"",_xlfn.XLOOKUP(C96,customers!$A$1:$A$1001,customers!$C$1:$C$1001, ,0))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c r="Q96" s="5">
        <f>_xlfn.XLOOKUP(Orders[[#This Row],[Product ID]],products!$A$1:$A$49,products!$G$1:$G$49) *Orders[[#This Row],[Quantity]]</f>
        <v>1.6118999999999999</v>
      </c>
    </row>
    <row r="97" spans="1:17" x14ac:dyDescent="0.25">
      <c r="A97" s="2" t="s">
        <v>1022</v>
      </c>
      <c r="B97" s="3">
        <v>43816</v>
      </c>
      <c r="C97" s="2" t="s">
        <v>1023</v>
      </c>
      <c r="D97" t="s">
        <v>6175</v>
      </c>
      <c r="E97" s="2">
        <v>6</v>
      </c>
      <c r="F97" s="2" t="str">
        <f>_xlfn.XLOOKUP(C97,customers!$A$1:$A$1001,customers!$B$1:$B$1001,,0)</f>
        <v>Norene Magauran</v>
      </c>
      <c r="G97" s="2" t="str">
        <f>IF(_xlfn.XLOOKUP(C97,customers!$A$1:$A$1001,customers!$C$1:$C$1001, ,0)=0,"",_xlfn.XLOOKUP(C97,customers!$A$1:$A$1001,customers!$C$1:$C$1001, ,0))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c r="Q97" s="5">
        <f>_xlfn.XLOOKUP(Orders[[#This Row],[Product ID]],products!$A$1:$A$49,products!$G$1:$G$49) *Orders[[#This Row],[Quantity]]</f>
        <v>13.972499999999997</v>
      </c>
    </row>
    <row r="98" spans="1:17" x14ac:dyDescent="0.25">
      <c r="A98" s="2" t="s">
        <v>1027</v>
      </c>
      <c r="B98" s="3">
        <v>44171</v>
      </c>
      <c r="C98" s="2" t="s">
        <v>1028</v>
      </c>
      <c r="D98" t="s">
        <v>6154</v>
      </c>
      <c r="E98" s="2">
        <v>2</v>
      </c>
      <c r="F98" s="2" t="str">
        <f>_xlfn.XLOOKUP(C98,customers!$A$1:$A$1001,customers!$B$1:$B$1001,,0)</f>
        <v>Vicki Kirdsch</v>
      </c>
      <c r="G98" s="2" t="str">
        <f>IF(_xlfn.XLOOKUP(C98,customers!$A$1:$A$1001,customers!$C$1:$C$1001, ,0)=0,"",_xlfn.XLOOKUP(C98,customers!$A$1:$A$1001,customers!$C$1:$C$1001, ,0))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c r="Q98" s="5">
        <f>_xlfn.XLOOKUP(Orders[[#This Row],[Product ID]],products!$A$1:$A$49,products!$G$1:$G$49) *Orders[[#This Row],[Quantity]]</f>
        <v>0.5373</v>
      </c>
    </row>
    <row r="99" spans="1:17" x14ac:dyDescent="0.25">
      <c r="A99" s="2" t="s">
        <v>1032</v>
      </c>
      <c r="B99" s="3">
        <v>44259</v>
      </c>
      <c r="C99" s="2" t="s">
        <v>1033</v>
      </c>
      <c r="D99" t="s">
        <v>6157</v>
      </c>
      <c r="E99" s="2">
        <v>2</v>
      </c>
      <c r="F99" s="2" t="str">
        <f>_xlfn.XLOOKUP(C99,customers!$A$1:$A$1001,customers!$B$1:$B$1001,,0)</f>
        <v>Ilysa Whapple</v>
      </c>
      <c r="G99" s="2" t="str">
        <f>IF(_xlfn.XLOOKUP(C99,customers!$A$1:$A$1001,customers!$C$1:$C$1001, ,0)=0,"",_xlfn.XLOOKUP(C99,customers!$A$1:$A$1001,customers!$C$1:$C$1001, ,0))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c r="Q99" s="5">
        <f>_xlfn.XLOOKUP(Orders[[#This Row],[Product ID]],products!$A$1:$A$49,products!$G$1:$G$49) *Orders[[#This Row],[Quantity]]</f>
        <v>1.2149999999999999</v>
      </c>
    </row>
    <row r="100" spans="1:17" x14ac:dyDescent="0.25">
      <c r="A100" s="2" t="s">
        <v>1038</v>
      </c>
      <c r="B100" s="3">
        <v>44394</v>
      </c>
      <c r="C100" s="2" t="s">
        <v>1039</v>
      </c>
      <c r="D100" t="s">
        <v>6154</v>
      </c>
      <c r="E100" s="2">
        <v>1</v>
      </c>
      <c r="F100" s="2" t="str">
        <f>_xlfn.XLOOKUP(C100,customers!$A$1:$A$1001,customers!$B$1:$B$1001,,0)</f>
        <v>Ruy Cancellieri</v>
      </c>
      <c r="G100" s="2" t="str">
        <f>IF(_xlfn.XLOOKUP(C100,customers!$A$1:$A$1001,customers!$C$1:$C$1001, ,0)=0,"",_xlfn.XLOOKUP(C100,customers!$A$1:$A$1001,customers!$C$1:$C$1001, ,0))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c r="Q100" s="5">
        <f>_xlfn.XLOOKUP(Orders[[#This Row],[Product ID]],products!$A$1:$A$49,products!$G$1:$G$49) *Orders[[#This Row],[Quantity]]</f>
        <v>0.26865</v>
      </c>
    </row>
    <row r="101" spans="1:17" x14ac:dyDescent="0.25">
      <c r="A101" s="2" t="s">
        <v>1043</v>
      </c>
      <c r="B101" s="3">
        <v>44139</v>
      </c>
      <c r="C101" s="2" t="s">
        <v>1044</v>
      </c>
      <c r="D101" t="s">
        <v>6159</v>
      </c>
      <c r="E101" s="2">
        <v>3</v>
      </c>
      <c r="F101" s="2" t="str">
        <f>_xlfn.XLOOKUP(C101,customers!$A$1:$A$1001,customers!$B$1:$B$1001,,0)</f>
        <v>Aube Follett</v>
      </c>
      <c r="G101" s="2" t="str">
        <f>IF(_xlfn.XLOOKUP(C101,customers!$A$1:$A$1001,customers!$C$1:$C$1001, ,0)=0,"",_xlfn.XLOOKUP(C101,customers!$A$1:$A$1001,customers!$C$1:$C$1001, ,0))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c r="Q101" s="5">
        <f>_xlfn.XLOOKUP(Orders[[#This Row],[Product ID]],products!$A$1:$A$49,products!$G$1:$G$49) *Orders[[#This Row],[Quantity]]</f>
        <v>1.70235</v>
      </c>
    </row>
    <row r="102" spans="1:17"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 ,0)=0,"",_xlfn.XLOOKUP(C102,customers!$A$1:$A$1001,customers!$C$1:$C$1001, ,0))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c r="Q102" s="5">
        <f>_xlfn.XLOOKUP(Orders[[#This Row],[Product ID]],products!$A$1:$A$49,products!$G$1:$G$49) *Orders[[#This Row],[Quantity]]</f>
        <v>0.69929999999999992</v>
      </c>
    </row>
    <row r="103" spans="1:17" x14ac:dyDescent="0.25">
      <c r="A103" s="2" t="s">
        <v>1053</v>
      </c>
      <c r="B103" s="3">
        <v>43891</v>
      </c>
      <c r="C103" s="2" t="s">
        <v>1054</v>
      </c>
      <c r="D103" t="s">
        <v>6165</v>
      </c>
      <c r="E103" s="2">
        <v>5</v>
      </c>
      <c r="F103" s="2" t="str">
        <f>_xlfn.XLOOKUP(C103,customers!$A$1:$A$1001,customers!$B$1:$B$1001,,0)</f>
        <v>Nickey Youles</v>
      </c>
      <c r="G103" s="2" t="str">
        <f>IF(_xlfn.XLOOKUP(C103,customers!$A$1:$A$1001,customers!$C$1:$C$1001, ,0)=0,"",_xlfn.XLOOKUP(C103,customers!$A$1:$A$1001,customers!$C$1:$C$1001, ,0))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c r="Q103" s="5">
        <f>_xlfn.XLOOKUP(Orders[[#This Row],[Product ID]],products!$A$1:$A$49,products!$G$1:$G$49) *Orders[[#This Row],[Quantity]]</f>
        <v>19.360250000000001</v>
      </c>
    </row>
    <row r="104" spans="1:17"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 ,0)=0,"",_xlfn.XLOOKUP(C104,customers!$A$1:$A$1001,customers!$C$1:$C$1001, ,0))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c r="Q104" s="5">
        <f>_xlfn.XLOOKUP(Orders[[#This Row],[Product ID]],products!$A$1:$A$49,products!$G$1:$G$49) *Orders[[#This Row],[Quantity]]</f>
        <v>5.0504999999999995</v>
      </c>
    </row>
    <row r="105" spans="1:17" x14ac:dyDescent="0.25">
      <c r="A105" s="2" t="s">
        <v>1065</v>
      </c>
      <c r="B105" s="3">
        <v>44750</v>
      </c>
      <c r="C105" s="2" t="s">
        <v>1066</v>
      </c>
      <c r="D105" t="s">
        <v>6174</v>
      </c>
      <c r="E105" s="2">
        <v>4</v>
      </c>
      <c r="F105" s="2" t="str">
        <f>_xlfn.XLOOKUP(C105,customers!$A$1:$A$1001,customers!$B$1:$B$1001,,0)</f>
        <v>Bram Revel</v>
      </c>
      <c r="G105" s="2" t="str">
        <f>IF(_xlfn.XLOOKUP(C105,customers!$A$1:$A$1001,customers!$C$1:$C$1001, ,0)=0,"",_xlfn.XLOOKUP(C105,customers!$A$1:$A$1001,customers!$C$1:$C$1001, ,0))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c r="Q105" s="5">
        <f>_xlfn.XLOOKUP(Orders[[#This Row],[Product ID]],products!$A$1:$A$49,products!$G$1:$G$49) *Orders[[#This Row],[Quantity]]</f>
        <v>0.71639999999999993</v>
      </c>
    </row>
    <row r="106" spans="1:17" x14ac:dyDescent="0.25">
      <c r="A106" s="2" t="s">
        <v>1071</v>
      </c>
      <c r="B106" s="3">
        <v>43694</v>
      </c>
      <c r="C106" s="2" t="s">
        <v>1072</v>
      </c>
      <c r="D106" t="s">
        <v>6162</v>
      </c>
      <c r="E106" s="2">
        <v>6</v>
      </c>
      <c r="F106" s="2" t="str">
        <f>_xlfn.XLOOKUP(C106,customers!$A$1:$A$1001,customers!$B$1:$B$1001,,0)</f>
        <v>Emiline Priddis</v>
      </c>
      <c r="G106" s="2" t="str">
        <f>IF(_xlfn.XLOOKUP(C106,customers!$A$1:$A$1001,customers!$C$1:$C$1001, ,0)=0,"",_xlfn.XLOOKUP(C106,customers!$A$1:$A$1001,customers!$C$1:$C$1001, ,0))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c r="Q106" s="5">
        <f>_xlfn.XLOOKUP(Orders[[#This Row],[Product ID]],products!$A$1:$A$49,products!$G$1:$G$49) *Orders[[#This Row],[Quantity]]</f>
        <v>11.349</v>
      </c>
    </row>
    <row r="107" spans="1:17" x14ac:dyDescent="0.25">
      <c r="A107" s="2" t="s">
        <v>1077</v>
      </c>
      <c r="B107" s="3">
        <v>43982</v>
      </c>
      <c r="C107" s="2" t="s">
        <v>1078</v>
      </c>
      <c r="D107" t="s">
        <v>6157</v>
      </c>
      <c r="E107" s="2">
        <v>6</v>
      </c>
      <c r="F107" s="2" t="str">
        <f>_xlfn.XLOOKUP(C107,customers!$A$1:$A$1001,customers!$B$1:$B$1001,,0)</f>
        <v>Queenie Veel</v>
      </c>
      <c r="G107" s="2" t="str">
        <f>IF(_xlfn.XLOOKUP(C107,customers!$A$1:$A$1001,customers!$C$1:$C$1001, ,0)=0,"",_xlfn.XLOOKUP(C107,customers!$A$1:$A$1001,customers!$C$1:$C$1001, ,0))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c r="Q107" s="5">
        <f>_xlfn.XLOOKUP(Orders[[#This Row],[Product ID]],products!$A$1:$A$49,products!$G$1:$G$49) *Orders[[#This Row],[Quantity]]</f>
        <v>3.6449999999999996</v>
      </c>
    </row>
    <row r="108" spans="1:17" x14ac:dyDescent="0.25">
      <c r="A108" s="2" t="s">
        <v>1083</v>
      </c>
      <c r="B108" s="3">
        <v>43956</v>
      </c>
      <c r="C108" s="2" t="s">
        <v>1084</v>
      </c>
      <c r="D108" t="s">
        <v>6183</v>
      </c>
      <c r="E108" s="2">
        <v>2</v>
      </c>
      <c r="F108" s="2" t="str">
        <f>_xlfn.XLOOKUP(C108,customers!$A$1:$A$1001,customers!$B$1:$B$1001,,0)</f>
        <v>Lind Conyers</v>
      </c>
      <c r="G108" s="2" t="str">
        <f>IF(_xlfn.XLOOKUP(C108,customers!$A$1:$A$1001,customers!$C$1:$C$1001, ,0)=0,"",_xlfn.XLOOKUP(C108,customers!$A$1:$A$1001,customers!$C$1:$C$1001, ,0))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c r="Q108" s="5">
        <f>_xlfn.XLOOKUP(Orders[[#This Row],[Product ID]],products!$A$1:$A$49,products!$G$1:$G$49) *Orders[[#This Row],[Quantity]]</f>
        <v>2.673</v>
      </c>
    </row>
    <row r="109" spans="1:17" x14ac:dyDescent="0.25">
      <c r="A109" s="2" t="s">
        <v>1089</v>
      </c>
      <c r="B109" s="3">
        <v>43569</v>
      </c>
      <c r="C109" s="2" t="s">
        <v>1090</v>
      </c>
      <c r="D109" t="s">
        <v>6146</v>
      </c>
      <c r="E109" s="2">
        <v>3</v>
      </c>
      <c r="F109" s="2" t="str">
        <f>_xlfn.XLOOKUP(C109,customers!$A$1:$A$1001,customers!$B$1:$B$1001,,0)</f>
        <v>Pen Wye</v>
      </c>
      <c r="G109" s="2" t="str">
        <f>IF(_xlfn.XLOOKUP(C109,customers!$A$1:$A$1001,customers!$C$1:$C$1001, ,0)=0,"",_xlfn.XLOOKUP(C109,customers!$A$1:$A$1001,customers!$C$1:$C$1001, ,0))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c r="Q109" s="5">
        <f>_xlfn.XLOOKUP(Orders[[#This Row],[Product ID]],products!$A$1:$A$49,products!$G$1:$G$49) *Orders[[#This Row],[Quantity]]</f>
        <v>1.0745999999999998</v>
      </c>
    </row>
    <row r="110" spans="1:17" x14ac:dyDescent="0.25">
      <c r="A110" s="2" t="s">
        <v>1095</v>
      </c>
      <c r="B110" s="3">
        <v>44041</v>
      </c>
      <c r="C110" s="2" t="s">
        <v>1096</v>
      </c>
      <c r="D110" t="s">
        <v>6157</v>
      </c>
      <c r="E110" s="2">
        <v>4</v>
      </c>
      <c r="F110" s="2" t="str">
        <f>_xlfn.XLOOKUP(C110,customers!$A$1:$A$1001,customers!$B$1:$B$1001,,0)</f>
        <v>Isahella Hagland</v>
      </c>
      <c r="G110" s="2" t="str">
        <f>IF(_xlfn.XLOOKUP(C110,customers!$A$1:$A$1001,customers!$C$1:$C$1001, ,0)=0,"",_xlfn.XLOOKUP(C110,customers!$A$1:$A$1001,customers!$C$1:$C$1001, ,0))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c r="Q110" s="5">
        <f>_xlfn.XLOOKUP(Orders[[#This Row],[Product ID]],products!$A$1:$A$49,products!$G$1:$G$49) *Orders[[#This Row],[Quantity]]</f>
        <v>2.4299999999999997</v>
      </c>
    </row>
    <row r="111" spans="1:17" x14ac:dyDescent="0.25">
      <c r="A111" s="2" t="s">
        <v>1100</v>
      </c>
      <c r="B111" s="3">
        <v>43811</v>
      </c>
      <c r="C111" s="2" t="s">
        <v>1101</v>
      </c>
      <c r="D111" t="s">
        <v>6169</v>
      </c>
      <c r="E111" s="2">
        <v>1</v>
      </c>
      <c r="F111" s="2" t="str">
        <f>_xlfn.XLOOKUP(C111,customers!$A$1:$A$1001,customers!$B$1:$B$1001,,0)</f>
        <v>Terry Sheryn</v>
      </c>
      <c r="G111" s="2" t="str">
        <f>IF(_xlfn.XLOOKUP(C111,customers!$A$1:$A$1001,customers!$C$1:$C$1001, ,0)=0,"",_xlfn.XLOOKUP(C111,customers!$A$1:$A$1001,customers!$C$1:$C$1001, ,0))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c r="Q111" s="5">
        <f>_xlfn.XLOOKUP(Orders[[#This Row],[Product ID]],products!$A$1:$A$49,products!$G$1:$G$49) *Orders[[#This Row],[Quantity]]</f>
        <v>1.0101</v>
      </c>
    </row>
    <row r="112" spans="1:17"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 ,0)=0,"",_xlfn.XLOOKUP(C112,customers!$A$1:$A$1001,customers!$C$1:$C$1001, ,0))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c r="Q112" s="5">
        <f>_xlfn.XLOOKUP(Orders[[#This Row],[Product ID]],products!$A$1:$A$49,products!$G$1:$G$49) *Orders[[#This Row],[Quantity]]</f>
        <v>1.4701499999999998</v>
      </c>
    </row>
    <row r="113" spans="1:17" x14ac:dyDescent="0.25">
      <c r="A113" s="2" t="s">
        <v>1112</v>
      </c>
      <c r="B113" s="3">
        <v>43642</v>
      </c>
      <c r="C113" s="2" t="s">
        <v>1113</v>
      </c>
      <c r="D113" t="s">
        <v>6172</v>
      </c>
      <c r="E113" s="2">
        <v>5</v>
      </c>
      <c r="F113" s="2" t="str">
        <f>_xlfn.XLOOKUP(C113,customers!$A$1:$A$1001,customers!$B$1:$B$1001,,0)</f>
        <v>Betty Fominov</v>
      </c>
      <c r="G113" s="2" t="str">
        <f>IF(_xlfn.XLOOKUP(C113,customers!$A$1:$A$1001,customers!$C$1:$C$1001, ,0)=0,"",_xlfn.XLOOKUP(C113,customers!$A$1:$A$1001,customers!$C$1:$C$1001, ,0))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c r="Q113" s="5">
        <f>_xlfn.XLOOKUP(Orders[[#This Row],[Product ID]],products!$A$1:$A$49,products!$G$1:$G$49) *Orders[[#This Row],[Quantity]]</f>
        <v>1.6109999999999998</v>
      </c>
    </row>
    <row r="114" spans="1:17"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 ,0)=0,"",_xlfn.XLOOKUP(C114,customers!$A$1:$A$1001,customers!$C$1:$C$1001, ,0))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c r="Q114" s="5">
        <f>_xlfn.XLOOKUP(Orders[[#This Row],[Product ID]],products!$A$1:$A$49,products!$G$1:$G$49) *Orders[[#This Row],[Quantity]]</f>
        <v>1.0125</v>
      </c>
    </row>
    <row r="115" spans="1:17" x14ac:dyDescent="0.25">
      <c r="A115" s="2" t="s">
        <v>1123</v>
      </c>
      <c r="B115" s="3">
        <v>43556</v>
      </c>
      <c r="C115" s="2" t="s">
        <v>1124</v>
      </c>
      <c r="D115" t="s">
        <v>6162</v>
      </c>
      <c r="E115" s="2">
        <v>1</v>
      </c>
      <c r="F115" s="2" t="str">
        <f>_xlfn.XLOOKUP(C115,customers!$A$1:$A$1001,customers!$B$1:$B$1001,,0)</f>
        <v>Merrel Steptow</v>
      </c>
      <c r="G115" s="2" t="str">
        <f>IF(_xlfn.XLOOKUP(C115,customers!$A$1:$A$1001,customers!$C$1:$C$1001, ,0)=0,"",_xlfn.XLOOKUP(C115,customers!$A$1:$A$1001,customers!$C$1:$C$1001, ,0))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c r="Q115" s="5">
        <f>_xlfn.XLOOKUP(Orders[[#This Row],[Product ID]],products!$A$1:$A$49,products!$G$1:$G$49) *Orders[[#This Row],[Quantity]]</f>
        <v>1.8915000000000002</v>
      </c>
    </row>
    <row r="116" spans="1:17" x14ac:dyDescent="0.25">
      <c r="A116" s="2" t="s">
        <v>1129</v>
      </c>
      <c r="B116" s="3">
        <v>44265</v>
      </c>
      <c r="C116" s="2" t="s">
        <v>1130</v>
      </c>
      <c r="D116" t="s">
        <v>6178</v>
      </c>
      <c r="E116" s="2">
        <v>4</v>
      </c>
      <c r="F116" s="2" t="str">
        <f>_xlfn.XLOOKUP(C116,customers!$A$1:$A$1001,customers!$B$1:$B$1001,,0)</f>
        <v>Carmina Hubbuck</v>
      </c>
      <c r="G116" s="2" t="str">
        <f>IF(_xlfn.XLOOKUP(C116,customers!$A$1:$A$1001,customers!$C$1:$C$1001, ,0)=0,"",_xlfn.XLOOKUP(C116,customers!$A$1:$A$1001,customers!$C$1:$C$1001, ,0))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c r="Q116" s="5">
        <f>_xlfn.XLOOKUP(Orders[[#This Row],[Product ID]],products!$A$1:$A$49,products!$G$1:$G$49) *Orders[[#This Row],[Quantity]]</f>
        <v>0.86039999999999983</v>
      </c>
    </row>
    <row r="117" spans="1:17"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 ,0)=0,"",_xlfn.XLOOKUP(C117,customers!$A$1:$A$1001,customers!$C$1:$C$1001, ,0))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c r="Q117" s="5">
        <f>_xlfn.XLOOKUP(Orders[[#This Row],[Product ID]],products!$A$1:$A$49,products!$G$1:$G$49) *Orders[[#This Row],[Quantity]]</f>
        <v>2.0605000000000002</v>
      </c>
    </row>
    <row r="118" spans="1:17" x14ac:dyDescent="0.25">
      <c r="A118" s="2" t="s">
        <v>1140</v>
      </c>
      <c r="B118" s="3">
        <v>44054</v>
      </c>
      <c r="C118" s="2" t="s">
        <v>1141</v>
      </c>
      <c r="D118" t="s">
        <v>6145</v>
      </c>
      <c r="E118" s="2">
        <v>4</v>
      </c>
      <c r="F118" s="2" t="str">
        <f>_xlfn.XLOOKUP(C118,customers!$A$1:$A$1001,customers!$B$1:$B$1001,,0)</f>
        <v>Geneva Standley</v>
      </c>
      <c r="G118" s="2" t="str">
        <f>IF(_xlfn.XLOOKUP(C118,customers!$A$1:$A$1001,customers!$C$1:$C$1001, ,0)=0,"",_xlfn.XLOOKUP(C118,customers!$A$1:$A$1001,customers!$C$1:$C$1001, ,0))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c r="Q118" s="5">
        <f>_xlfn.XLOOKUP(Orders[[#This Row],[Product ID]],products!$A$1:$A$49,products!$G$1:$G$49) *Orders[[#This Row],[Quantity]]</f>
        <v>2.4725999999999999</v>
      </c>
    </row>
    <row r="119" spans="1:17" x14ac:dyDescent="0.25">
      <c r="A119" s="2" t="s">
        <v>1146</v>
      </c>
      <c r="B119" s="3">
        <v>44656</v>
      </c>
      <c r="C119" s="2" t="s">
        <v>1147</v>
      </c>
      <c r="D119" t="s">
        <v>6161</v>
      </c>
      <c r="E119" s="2">
        <v>4</v>
      </c>
      <c r="F119" s="2" t="str">
        <f>_xlfn.XLOOKUP(C119,customers!$A$1:$A$1001,customers!$B$1:$B$1001,,0)</f>
        <v>Brook Drage</v>
      </c>
      <c r="G119" s="2" t="str">
        <f>IF(_xlfn.XLOOKUP(C119,customers!$A$1:$A$1001,customers!$C$1:$C$1001, ,0)=0,"",_xlfn.XLOOKUP(C119,customers!$A$1:$A$1001,customers!$C$1:$C$1001, ,0))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c r="Q119" s="5">
        <f>_xlfn.XLOOKUP(Orders[[#This Row],[Product ID]],products!$A$1:$A$49,products!$G$1:$G$49) *Orders[[#This Row],[Quantity]]</f>
        <v>4.9451999999999998</v>
      </c>
    </row>
    <row r="120" spans="1:17" x14ac:dyDescent="0.25">
      <c r="A120" s="2" t="s">
        <v>1152</v>
      </c>
      <c r="B120" s="3">
        <v>43760</v>
      </c>
      <c r="C120" s="2" t="s">
        <v>1153</v>
      </c>
      <c r="D120" t="s">
        <v>6144</v>
      </c>
      <c r="E120" s="2">
        <v>3</v>
      </c>
      <c r="F120" s="2" t="str">
        <f>_xlfn.XLOOKUP(C120,customers!$A$1:$A$1001,customers!$B$1:$B$1001,,0)</f>
        <v>Muffin Yallop</v>
      </c>
      <c r="G120" s="2" t="str">
        <f>IF(_xlfn.XLOOKUP(C120,customers!$A$1:$A$1001,customers!$C$1:$C$1001, ,0)=0,"",_xlfn.XLOOKUP(C120,customers!$A$1:$A$1001,customers!$C$1:$C$1001, ,0))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c r="Q120" s="5">
        <f>_xlfn.XLOOKUP(Orders[[#This Row],[Product ID]],products!$A$1:$A$49,products!$G$1:$G$49) *Orders[[#This Row],[Quantity]]</f>
        <v>2.4057000000000004</v>
      </c>
    </row>
    <row r="121" spans="1:17" x14ac:dyDescent="0.25">
      <c r="A121" s="2" t="s">
        <v>1158</v>
      </c>
      <c r="B121" s="3">
        <v>44471</v>
      </c>
      <c r="C121" s="2" t="s">
        <v>1159</v>
      </c>
      <c r="D121" t="s">
        <v>6156</v>
      </c>
      <c r="E121" s="2">
        <v>1</v>
      </c>
      <c r="F121" s="2" t="str">
        <f>_xlfn.XLOOKUP(C121,customers!$A$1:$A$1001,customers!$B$1:$B$1001,,0)</f>
        <v>Cordi Switsur</v>
      </c>
      <c r="G121" s="2" t="str">
        <f>IF(_xlfn.XLOOKUP(C121,customers!$A$1:$A$1001,customers!$C$1:$C$1001, ,0)=0,"",_xlfn.XLOOKUP(C121,customers!$A$1:$A$1001,customers!$C$1:$C$1001, ,0))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c r="Q121" s="5">
        <f>_xlfn.XLOOKUP(Orders[[#This Row],[Product ID]],products!$A$1:$A$49,products!$G$1:$G$49) *Orders[[#This Row],[Quantity]]</f>
        <v>0.45374999999999999</v>
      </c>
    </row>
    <row r="122" spans="1:17" x14ac:dyDescent="0.25">
      <c r="A122" s="2" t="s">
        <v>1158</v>
      </c>
      <c r="B122" s="3">
        <v>44471</v>
      </c>
      <c r="C122" s="2" t="s">
        <v>1159</v>
      </c>
      <c r="D122" t="s">
        <v>6167</v>
      </c>
      <c r="E122" s="2">
        <v>1</v>
      </c>
      <c r="F122" s="2" t="str">
        <f>_xlfn.XLOOKUP(C122,customers!$A$1:$A$1001,customers!$B$1:$B$1001,,0)</f>
        <v>Cordi Switsur</v>
      </c>
      <c r="G122" s="2" t="str">
        <f>IF(_xlfn.XLOOKUP(C122,customers!$A$1:$A$1001,customers!$C$1:$C$1001, ,0)=0,"",_xlfn.XLOOKUP(C122,customers!$A$1:$A$1001,customers!$C$1:$C$1001, ,0))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c r="Q122" s="5">
        <f>_xlfn.XLOOKUP(Orders[[#This Row],[Product ID]],products!$A$1:$A$49,products!$G$1:$G$49) *Orders[[#This Row],[Quantity]]</f>
        <v>0.34964999999999996</v>
      </c>
    </row>
    <row r="123" spans="1:17" x14ac:dyDescent="0.25">
      <c r="A123" s="2" t="s">
        <v>1158</v>
      </c>
      <c r="B123" s="3">
        <v>44471</v>
      </c>
      <c r="C123" s="2" t="s">
        <v>1159</v>
      </c>
      <c r="D123" t="s">
        <v>6141</v>
      </c>
      <c r="E123" s="2">
        <v>5</v>
      </c>
      <c r="F123" s="2" t="str">
        <f>_xlfn.XLOOKUP(C123,customers!$A$1:$A$1001,customers!$B$1:$B$1001,,0)</f>
        <v>Cordi Switsur</v>
      </c>
      <c r="G123" s="2" t="str">
        <f>IF(_xlfn.XLOOKUP(C123,customers!$A$1:$A$1001,customers!$C$1:$C$1001, ,0)=0,"",_xlfn.XLOOKUP(C123,customers!$A$1:$A$1001,customers!$C$1:$C$1001, ,0))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c r="Q123" s="5">
        <f>_xlfn.XLOOKUP(Orders[[#This Row],[Product ID]],products!$A$1:$A$49,products!$G$1:$G$49) *Orders[[#This Row],[Quantity]]</f>
        <v>7.5625</v>
      </c>
    </row>
    <row r="124" spans="1:17" x14ac:dyDescent="0.25">
      <c r="A124" s="2" t="s">
        <v>1174</v>
      </c>
      <c r="B124" s="3">
        <v>44268</v>
      </c>
      <c r="C124" s="2" t="s">
        <v>1175</v>
      </c>
      <c r="D124" t="s">
        <v>6158</v>
      </c>
      <c r="E124" s="2">
        <v>4</v>
      </c>
      <c r="F124" s="2" t="str">
        <f>_xlfn.XLOOKUP(C124,customers!$A$1:$A$1001,customers!$B$1:$B$1001,,0)</f>
        <v>Mahala Ludwell</v>
      </c>
      <c r="G124" s="2" t="str">
        <f>IF(_xlfn.XLOOKUP(C124,customers!$A$1:$A$1001,customers!$C$1:$C$1001, ,0)=0,"",_xlfn.XLOOKUP(C124,customers!$A$1:$A$1001,customers!$C$1:$C$1001, ,0))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c r="Q124" s="5">
        <f>_xlfn.XLOOKUP(Orders[[#This Row],[Product ID]],products!$A$1:$A$49,products!$G$1:$G$49) *Orders[[#This Row],[Quantity]]</f>
        <v>2.1492</v>
      </c>
    </row>
    <row r="125" spans="1:17" x14ac:dyDescent="0.25">
      <c r="A125" s="2" t="s">
        <v>1180</v>
      </c>
      <c r="B125" s="3">
        <v>44724</v>
      </c>
      <c r="C125" s="2" t="s">
        <v>1181</v>
      </c>
      <c r="D125" t="s">
        <v>6164</v>
      </c>
      <c r="E125" s="2">
        <v>4</v>
      </c>
      <c r="F125" s="2" t="str">
        <f>_xlfn.XLOOKUP(C125,customers!$A$1:$A$1001,customers!$B$1:$B$1001,,0)</f>
        <v>Doll Beauchamp</v>
      </c>
      <c r="G125" s="2" t="str">
        <f>IF(_xlfn.XLOOKUP(C125,customers!$A$1:$A$1001,customers!$C$1:$C$1001, ,0)=0,"",_xlfn.XLOOKUP(C125,customers!$A$1:$A$1001,customers!$C$1:$C$1001, ,0))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c r="Q125" s="5">
        <f>_xlfn.XLOOKUP(Orders[[#This Row],[Product ID]],products!$A$1:$A$49,products!$G$1:$G$49) *Orders[[#This Row],[Quantity]]</f>
        <v>18.956599999999998</v>
      </c>
    </row>
    <row r="126" spans="1:17" x14ac:dyDescent="0.25">
      <c r="A126" s="2" t="s">
        <v>1186</v>
      </c>
      <c r="B126" s="3">
        <v>43582</v>
      </c>
      <c r="C126" s="2" t="s">
        <v>1187</v>
      </c>
      <c r="D126" t="s">
        <v>6159</v>
      </c>
      <c r="E126" s="2">
        <v>5</v>
      </c>
      <c r="F126" s="2" t="str">
        <f>_xlfn.XLOOKUP(C126,customers!$A$1:$A$1001,customers!$B$1:$B$1001,,0)</f>
        <v>Stanford Rodliff</v>
      </c>
      <c r="G126" s="2" t="str">
        <f>IF(_xlfn.XLOOKUP(C126,customers!$A$1:$A$1001,customers!$C$1:$C$1001, ,0)=0,"",_xlfn.XLOOKUP(C126,customers!$A$1:$A$1001,customers!$C$1:$C$1001, ,0))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c r="Q126" s="5">
        <f>_xlfn.XLOOKUP(Orders[[#This Row],[Product ID]],products!$A$1:$A$49,products!$G$1:$G$49) *Orders[[#This Row],[Quantity]]</f>
        <v>2.83725</v>
      </c>
    </row>
    <row r="127" spans="1:17" x14ac:dyDescent="0.25">
      <c r="A127" s="2" t="s">
        <v>1192</v>
      </c>
      <c r="B127" s="3">
        <v>43608</v>
      </c>
      <c r="C127" s="2" t="s">
        <v>1193</v>
      </c>
      <c r="D127" t="s">
        <v>6160</v>
      </c>
      <c r="E127" s="2">
        <v>3</v>
      </c>
      <c r="F127" s="2" t="str">
        <f>_xlfn.XLOOKUP(C127,customers!$A$1:$A$1001,customers!$B$1:$B$1001,,0)</f>
        <v>Stevana Woodham</v>
      </c>
      <c r="G127" s="2" t="str">
        <f>IF(_xlfn.XLOOKUP(C127,customers!$A$1:$A$1001,customers!$C$1:$C$1001, ,0)=0,"",_xlfn.XLOOKUP(C127,customers!$A$1:$A$1001,customers!$C$1:$C$1001, ,0))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c r="Q127" s="5">
        <f>_xlfn.XLOOKUP(Orders[[#This Row],[Product ID]],products!$A$1:$A$49,products!$G$1:$G$49) *Orders[[#This Row],[Quantity]]</f>
        <v>3.4047000000000001</v>
      </c>
    </row>
    <row r="128" spans="1:17" x14ac:dyDescent="0.25">
      <c r="A128" s="2" t="s">
        <v>1198</v>
      </c>
      <c r="B128" s="3">
        <v>44026</v>
      </c>
      <c r="C128" s="2" t="s">
        <v>1199</v>
      </c>
      <c r="D128" t="s">
        <v>6155</v>
      </c>
      <c r="E128" s="2">
        <v>1</v>
      </c>
      <c r="F128" s="2" t="str">
        <f>_xlfn.XLOOKUP(C128,customers!$A$1:$A$1001,customers!$B$1:$B$1001,,0)</f>
        <v>Hewet Synnot</v>
      </c>
      <c r="G128" s="2" t="str">
        <f>IF(_xlfn.XLOOKUP(C128,customers!$A$1:$A$1001,customers!$C$1:$C$1001, ,0)=0,"",_xlfn.XLOOKUP(C128,customers!$A$1:$A$1001,customers!$C$1:$C$1001, ,0))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c r="Q128" s="5">
        <f>_xlfn.XLOOKUP(Orders[[#This Row],[Product ID]],products!$A$1:$A$49,products!$G$1:$G$49) *Orders[[#This Row],[Quantity]]</f>
        <v>1.0125</v>
      </c>
    </row>
    <row r="129" spans="1:17" x14ac:dyDescent="0.25">
      <c r="A129" s="2" t="s">
        <v>1204</v>
      </c>
      <c r="B129" s="3">
        <v>44510</v>
      </c>
      <c r="C129" s="2" t="s">
        <v>1205</v>
      </c>
      <c r="D129" t="s">
        <v>6143</v>
      </c>
      <c r="E129" s="2">
        <v>6</v>
      </c>
      <c r="F129" s="2" t="str">
        <f>_xlfn.XLOOKUP(C129,customers!$A$1:$A$1001,customers!$B$1:$B$1001,,0)</f>
        <v>Raleigh Lepere</v>
      </c>
      <c r="G129" s="2" t="str">
        <f>IF(_xlfn.XLOOKUP(C129,customers!$A$1:$A$1001,customers!$C$1:$C$1001, ,0)=0,"",_xlfn.XLOOKUP(C129,customers!$A$1:$A$1001,customers!$C$1:$C$1001, ,0))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c r="Q129" s="5">
        <f>_xlfn.XLOOKUP(Orders[[#This Row],[Product ID]],products!$A$1:$A$49,products!$G$1:$G$49) *Orders[[#This Row],[Quantity]]</f>
        <v>10.100999999999999</v>
      </c>
    </row>
    <row r="130" spans="1:17"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 ,0)=0,"",_xlfn.XLOOKUP(C130,customers!$A$1:$A$1001,customers!$C$1:$C$1001, ,0))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c r="Q130" s="5">
        <f>_xlfn.XLOOKUP(Orders[[#This Row],[Product ID]],products!$A$1:$A$49,products!$G$1:$G$49) *Orders[[#This Row],[Quantity]]</f>
        <v>0.60749999999999993</v>
      </c>
    </row>
    <row r="131" spans="1:17" x14ac:dyDescent="0.25">
      <c r="A131" s="2" t="s">
        <v>1216</v>
      </c>
      <c r="B131" s="3">
        <v>43652</v>
      </c>
      <c r="C131" s="2" t="s">
        <v>1217</v>
      </c>
      <c r="D131" t="s">
        <v>6183</v>
      </c>
      <c r="E131" s="2">
        <v>1</v>
      </c>
      <c r="F131" s="2" t="str">
        <f>_xlfn.XLOOKUP(C131,customers!$A$1:$A$1001,customers!$B$1:$B$1001,,0)</f>
        <v>Evelina Dacca</v>
      </c>
      <c r="G131" s="2" t="str">
        <f>IF(_xlfn.XLOOKUP(C131,customers!$A$1:$A$1001,customers!$C$1:$C$1001, ,0)=0,"",_xlfn.XLOOKUP(C131,customers!$A$1:$A$1001,customers!$C$1:$C$1001, ,0))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 = "Lib","Liberica"))))</f>
        <v>Excelsa</v>
      </c>
      <c r="O131" t="str">
        <f t="shared" ref="O131:O194" si="8">IF(J131="L","Light",IF(J131="M","Medium",IF(J131="D","Dark")))</f>
        <v>Dark</v>
      </c>
      <c r="P131" t="str">
        <f>_xlfn.XLOOKUP(Orders[[#This Row],[Customer ID]],customers!$A$1:$A$1001,customers!$I$1:$I$1001,,0)</f>
        <v>Yes</v>
      </c>
      <c r="Q131" s="5">
        <f>_xlfn.XLOOKUP(Orders[[#This Row],[Product ID]],products!$A$1:$A$49,products!$G$1:$G$49) *Orders[[#This Row],[Quantity]]</f>
        <v>1.3365</v>
      </c>
    </row>
    <row r="132" spans="1:17"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 ,0)=0,"",_xlfn.XLOOKUP(C132,customers!$A$1:$A$1001,customers!$C$1:$C$1001, ,0))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c r="Q132" s="5">
        <f>_xlfn.XLOOKUP(Orders[[#This Row],[Product ID]],products!$A$1:$A$49,products!$G$1:$G$49) *Orders[[#This Row],[Quantity]]</f>
        <v>13.403249999999998</v>
      </c>
    </row>
    <row r="133" spans="1:17"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 ,0)=0,"",_xlfn.XLOOKUP(C133,customers!$A$1:$A$1001,customers!$C$1:$C$1001, ,0))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c r="Q133" s="5">
        <f>_xlfn.XLOOKUP(Orders[[#This Row],[Product ID]],products!$A$1:$A$49,products!$G$1:$G$49) *Orders[[#This Row],[Quantity]]</f>
        <v>1.6038000000000001</v>
      </c>
    </row>
    <row r="134" spans="1:17" x14ac:dyDescent="0.25">
      <c r="A134" s="2" t="s">
        <v>1233</v>
      </c>
      <c r="B134" s="3">
        <v>44043</v>
      </c>
      <c r="C134" s="2" t="s">
        <v>1234</v>
      </c>
      <c r="D134" t="s">
        <v>6182</v>
      </c>
      <c r="E134" s="2">
        <v>5</v>
      </c>
      <c r="F134" s="2" t="str">
        <f>_xlfn.XLOOKUP(C134,customers!$A$1:$A$1001,customers!$B$1:$B$1001,,0)</f>
        <v>Osbert Robins</v>
      </c>
      <c r="G134" s="2" t="str">
        <f>IF(_xlfn.XLOOKUP(C134,customers!$A$1:$A$1001,customers!$C$1:$C$1001, ,0)=0,"",_xlfn.XLOOKUP(C134,customers!$A$1:$A$1001,customers!$C$1:$C$1001, ,0))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c r="Q134" s="5">
        <f>_xlfn.XLOOKUP(Orders[[#This Row],[Product ID]],products!$A$1:$A$49,products!$G$1:$G$49) *Orders[[#This Row],[Quantity]]</f>
        <v>13.403249999999998</v>
      </c>
    </row>
    <row r="135" spans="1:17" x14ac:dyDescent="0.25">
      <c r="A135" s="2" t="s">
        <v>1239</v>
      </c>
      <c r="B135" s="3">
        <v>44340</v>
      </c>
      <c r="C135" s="2" t="s">
        <v>1240</v>
      </c>
      <c r="D135" t="s">
        <v>6143</v>
      </c>
      <c r="E135" s="2">
        <v>1</v>
      </c>
      <c r="F135" s="2" t="str">
        <f>_xlfn.XLOOKUP(C135,customers!$A$1:$A$1001,customers!$B$1:$B$1001,,0)</f>
        <v>Othello Syseland</v>
      </c>
      <c r="G135" s="2" t="str">
        <f>IF(_xlfn.XLOOKUP(C135,customers!$A$1:$A$1001,customers!$C$1:$C$1001, ,0)=0,"",_xlfn.XLOOKUP(C135,customers!$A$1:$A$1001,customers!$C$1:$C$1001, ,0))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c r="Q135" s="5">
        <f>_xlfn.XLOOKUP(Orders[[#This Row],[Product ID]],products!$A$1:$A$49,products!$G$1:$G$49) *Orders[[#This Row],[Quantity]]</f>
        <v>1.6835</v>
      </c>
    </row>
    <row r="136" spans="1:17" x14ac:dyDescent="0.25">
      <c r="A136" s="2" t="s">
        <v>1245</v>
      </c>
      <c r="B136" s="3">
        <v>44758</v>
      </c>
      <c r="C136" s="2" t="s">
        <v>1246</v>
      </c>
      <c r="D136" t="s">
        <v>6166</v>
      </c>
      <c r="E136" s="2">
        <v>3</v>
      </c>
      <c r="F136" s="2" t="str">
        <f>_xlfn.XLOOKUP(C136,customers!$A$1:$A$1001,customers!$B$1:$B$1001,,0)</f>
        <v>Ewell Hanby</v>
      </c>
      <c r="G136" s="2" t="str">
        <f>IF(_xlfn.XLOOKUP(C136,customers!$A$1:$A$1001,customers!$C$1:$C$1001, ,0)=0,"",_xlfn.XLOOKUP(C136,customers!$A$1:$A$1001,customers!$C$1:$C$1001, ,0))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c r="Q136" s="5">
        <f>_xlfn.XLOOKUP(Orders[[#This Row],[Product ID]],products!$A$1:$A$49,products!$G$1:$G$49) *Orders[[#This Row],[Quantity]]</f>
        <v>10.436249999999999</v>
      </c>
    </row>
    <row r="137" spans="1:17" x14ac:dyDescent="0.25">
      <c r="A137" s="2" t="s">
        <v>1249</v>
      </c>
      <c r="B137" s="3">
        <v>44232</v>
      </c>
      <c r="C137" s="2" t="s">
        <v>976</v>
      </c>
      <c r="D137" t="s">
        <v>6180</v>
      </c>
      <c r="E137" s="2">
        <v>5</v>
      </c>
      <c r="F137" s="2" t="str">
        <f>_xlfn.XLOOKUP(C137,customers!$A$1:$A$1001,customers!$B$1:$B$1001,,0)</f>
        <v>Blancha McAmish</v>
      </c>
      <c r="G137" s="2" t="str">
        <f>IF(_xlfn.XLOOKUP(C137,customers!$A$1:$A$1001,customers!$C$1:$C$1001, ,0)=0,"",_xlfn.XLOOKUP(C137,customers!$A$1:$A$1001,customers!$C$1:$C$1001, ,0))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c r="Q137" s="5">
        <f>_xlfn.XLOOKUP(Orders[[#This Row],[Product ID]],products!$A$1:$A$49,products!$G$1:$G$49) *Orders[[#This Row],[Quantity]]</f>
        <v>3.4964999999999997</v>
      </c>
    </row>
    <row r="138" spans="1:17"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 ,0)=0,"",_xlfn.XLOOKUP(C138,customers!$A$1:$A$1001,customers!$C$1:$C$1001, ,0))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c r="Q138" s="5">
        <f>_xlfn.XLOOKUP(Orders[[#This Row],[Product ID]],products!$A$1:$A$49,products!$G$1:$G$49) *Orders[[#This Row],[Quantity]]</f>
        <v>1.0746</v>
      </c>
    </row>
    <row r="139" spans="1:17" x14ac:dyDescent="0.25">
      <c r="A139" s="2" t="s">
        <v>1261</v>
      </c>
      <c r="B139" s="3">
        <v>44637</v>
      </c>
      <c r="C139" s="2" t="s">
        <v>1262</v>
      </c>
      <c r="D139" t="s">
        <v>6148</v>
      </c>
      <c r="E139" s="2">
        <v>3</v>
      </c>
      <c r="F139" s="2" t="str">
        <f>_xlfn.XLOOKUP(C139,customers!$A$1:$A$1001,customers!$B$1:$B$1001,,0)</f>
        <v>Elonore Joliffe</v>
      </c>
      <c r="G139" s="2" t="str">
        <f>IF(_xlfn.XLOOKUP(C139,customers!$A$1:$A$1001,customers!$C$1:$C$1001, ,0)=0,"",_xlfn.XLOOKUP(C139,customers!$A$1:$A$1001,customers!$C$1:$C$1001, ,0))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c r="Q139" s="5">
        <f>_xlfn.XLOOKUP(Orders[[#This Row],[Product ID]],products!$A$1:$A$49,products!$G$1:$G$49) *Orders[[#This Row],[Quantity]]</f>
        <v>11.271149999999999</v>
      </c>
    </row>
    <row r="140" spans="1:17" x14ac:dyDescent="0.25">
      <c r="A140" s="2" t="s">
        <v>1266</v>
      </c>
      <c r="B140" s="3">
        <v>44238</v>
      </c>
      <c r="C140" s="2" t="s">
        <v>1267</v>
      </c>
      <c r="D140" t="s">
        <v>6183</v>
      </c>
      <c r="E140" s="2">
        <v>4</v>
      </c>
      <c r="F140" s="2" t="str">
        <f>_xlfn.XLOOKUP(C140,customers!$A$1:$A$1001,customers!$B$1:$B$1001,,0)</f>
        <v>Abraham Coleman</v>
      </c>
      <c r="G140" s="2" t="str">
        <f>IF(_xlfn.XLOOKUP(C140,customers!$A$1:$A$1001,customers!$C$1:$C$1001, ,0)=0,"",_xlfn.XLOOKUP(C140,customers!$A$1:$A$1001,customers!$C$1:$C$1001, ,0))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c r="Q140" s="5">
        <f>_xlfn.XLOOKUP(Orders[[#This Row],[Product ID]],products!$A$1:$A$49,products!$G$1:$G$49) *Orders[[#This Row],[Quantity]]</f>
        <v>5.3460000000000001</v>
      </c>
    </row>
    <row r="141" spans="1:17" x14ac:dyDescent="0.25">
      <c r="A141" s="2" t="s">
        <v>1271</v>
      </c>
      <c r="B141" s="3">
        <v>43509</v>
      </c>
      <c r="C141" s="2" t="s">
        <v>1272</v>
      </c>
      <c r="D141" t="s">
        <v>6143</v>
      </c>
      <c r="E141" s="2">
        <v>6</v>
      </c>
      <c r="F141" s="2" t="str">
        <f>_xlfn.XLOOKUP(C141,customers!$A$1:$A$1001,customers!$B$1:$B$1001,,0)</f>
        <v>Rivy Farington</v>
      </c>
      <c r="G141" s="2" t="str">
        <f>IF(_xlfn.XLOOKUP(C141,customers!$A$1:$A$1001,customers!$C$1:$C$1001, ,0)=0,"",_xlfn.XLOOKUP(C141,customers!$A$1:$A$1001,customers!$C$1:$C$1001, ,0))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c r="Q141" s="5">
        <f>_xlfn.XLOOKUP(Orders[[#This Row],[Product ID]],products!$A$1:$A$49,products!$G$1:$G$49) *Orders[[#This Row],[Quantity]]</f>
        <v>10.100999999999999</v>
      </c>
    </row>
    <row r="142" spans="1:17" x14ac:dyDescent="0.25">
      <c r="A142" s="2" t="s">
        <v>1276</v>
      </c>
      <c r="B142" s="3">
        <v>44694</v>
      </c>
      <c r="C142" s="2" t="s">
        <v>1277</v>
      </c>
      <c r="D142" t="s">
        <v>6165</v>
      </c>
      <c r="E142" s="2">
        <v>1</v>
      </c>
      <c r="F142" s="2" t="str">
        <f>_xlfn.XLOOKUP(C142,customers!$A$1:$A$1001,customers!$B$1:$B$1001,,0)</f>
        <v>Vallie Kundt</v>
      </c>
      <c r="G142" s="2" t="str">
        <f>IF(_xlfn.XLOOKUP(C142,customers!$A$1:$A$1001,customers!$C$1:$C$1001, ,0)=0,"",_xlfn.XLOOKUP(C142,customers!$A$1:$A$1001,customers!$C$1:$C$1001, ,0))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c r="Q142" s="5">
        <f>_xlfn.XLOOKUP(Orders[[#This Row],[Product ID]],products!$A$1:$A$49,products!$G$1:$G$49) *Orders[[#This Row],[Quantity]]</f>
        <v>3.8720499999999998</v>
      </c>
    </row>
    <row r="143" spans="1:17" x14ac:dyDescent="0.25">
      <c r="A143" s="2" t="s">
        <v>1283</v>
      </c>
      <c r="B143" s="3">
        <v>43970</v>
      </c>
      <c r="C143" s="2" t="s">
        <v>1284</v>
      </c>
      <c r="D143" t="s">
        <v>6167</v>
      </c>
      <c r="E143" s="2">
        <v>4</v>
      </c>
      <c r="F143" s="2" t="str">
        <f>_xlfn.XLOOKUP(C143,customers!$A$1:$A$1001,customers!$B$1:$B$1001,,0)</f>
        <v>Boyd Bett</v>
      </c>
      <c r="G143" s="2" t="str">
        <f>IF(_xlfn.XLOOKUP(C143,customers!$A$1:$A$1001,customers!$C$1:$C$1001, ,0)=0,"",_xlfn.XLOOKUP(C143,customers!$A$1:$A$1001,customers!$C$1:$C$1001, ,0))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c r="Q143" s="5">
        <f>_xlfn.XLOOKUP(Orders[[#This Row],[Product ID]],products!$A$1:$A$49,products!$G$1:$G$49) *Orders[[#This Row],[Quantity]]</f>
        <v>1.3985999999999998</v>
      </c>
    </row>
    <row r="144" spans="1:17" x14ac:dyDescent="0.25">
      <c r="A144" s="2" t="s">
        <v>1289</v>
      </c>
      <c r="B144" s="3">
        <v>44678</v>
      </c>
      <c r="C144" s="2" t="s">
        <v>1290</v>
      </c>
      <c r="D144" t="s">
        <v>6148</v>
      </c>
      <c r="E144" s="2">
        <v>4</v>
      </c>
      <c r="F144" s="2" t="str">
        <f>_xlfn.XLOOKUP(C144,customers!$A$1:$A$1001,customers!$B$1:$B$1001,,0)</f>
        <v>Julio Armytage</v>
      </c>
      <c r="G144" s="2" t="str">
        <f>IF(_xlfn.XLOOKUP(C144,customers!$A$1:$A$1001,customers!$C$1:$C$1001, ,0)=0,"",_xlfn.XLOOKUP(C144,customers!$A$1:$A$1001,customers!$C$1:$C$1001, ,0))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c r="Q144" s="5">
        <f>_xlfn.XLOOKUP(Orders[[#This Row],[Product ID]],products!$A$1:$A$49,products!$G$1:$G$49) *Orders[[#This Row],[Quantity]]</f>
        <v>15.028199999999998</v>
      </c>
    </row>
    <row r="145" spans="1:17" x14ac:dyDescent="0.25">
      <c r="A145" s="2" t="s">
        <v>1293</v>
      </c>
      <c r="B145" s="3">
        <v>44083</v>
      </c>
      <c r="C145" s="2" t="s">
        <v>1294</v>
      </c>
      <c r="D145" t="s">
        <v>6160</v>
      </c>
      <c r="E145" s="2">
        <v>2</v>
      </c>
      <c r="F145" s="2" t="str">
        <f>_xlfn.XLOOKUP(C145,customers!$A$1:$A$1001,customers!$B$1:$B$1001,,0)</f>
        <v>Deana Staite</v>
      </c>
      <c r="G145" s="2" t="str">
        <f>IF(_xlfn.XLOOKUP(C145,customers!$A$1:$A$1001,customers!$C$1:$C$1001, ,0)=0,"",_xlfn.XLOOKUP(C145,customers!$A$1:$A$1001,customers!$C$1:$C$1001, ,0))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c r="Q145" s="5">
        <f>_xlfn.XLOOKUP(Orders[[#This Row],[Product ID]],products!$A$1:$A$49,products!$G$1:$G$49) *Orders[[#This Row],[Quantity]]</f>
        <v>2.2698</v>
      </c>
    </row>
    <row r="146" spans="1:17" x14ac:dyDescent="0.25">
      <c r="A146" s="2" t="s">
        <v>1299</v>
      </c>
      <c r="B146" s="3">
        <v>44265</v>
      </c>
      <c r="C146" s="2" t="s">
        <v>1300</v>
      </c>
      <c r="D146" t="s">
        <v>6148</v>
      </c>
      <c r="E146" s="2">
        <v>2</v>
      </c>
      <c r="F146" s="2" t="str">
        <f>_xlfn.XLOOKUP(C146,customers!$A$1:$A$1001,customers!$B$1:$B$1001,,0)</f>
        <v>Winn Keyse</v>
      </c>
      <c r="G146" s="2" t="str">
        <f>IF(_xlfn.XLOOKUP(C146,customers!$A$1:$A$1001,customers!$C$1:$C$1001, ,0)=0,"",_xlfn.XLOOKUP(C146,customers!$A$1:$A$1001,customers!$C$1:$C$1001, ,0))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c r="Q146" s="5">
        <f>_xlfn.XLOOKUP(Orders[[#This Row],[Product ID]],products!$A$1:$A$49,products!$G$1:$G$49) *Orders[[#This Row],[Quantity]]</f>
        <v>7.5140999999999991</v>
      </c>
    </row>
    <row r="147" spans="1:17"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 ,0)=0,"",_xlfn.XLOOKUP(C147,customers!$A$1:$A$1001,customers!$C$1:$C$1001, ,0))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c r="Q147" s="5">
        <f>_xlfn.XLOOKUP(Orders[[#This Row],[Product ID]],products!$A$1:$A$49,products!$G$1:$G$49) *Orders[[#This Row],[Quantity]]</f>
        <v>2.2698</v>
      </c>
    </row>
    <row r="148" spans="1:17"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 ,0)=0,"",_xlfn.XLOOKUP(C148,customers!$A$1:$A$1001,customers!$C$1:$C$1001, ,0))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c r="Q148" s="5">
        <f>_xlfn.XLOOKUP(Orders[[#This Row],[Product ID]],products!$A$1:$A$49,products!$G$1:$G$49) *Orders[[#This Row],[Quantity]]</f>
        <v>5.6745000000000001</v>
      </c>
    </row>
    <row r="149" spans="1:17"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 ,0)=0,"",_xlfn.XLOOKUP(C149,customers!$A$1:$A$1001,customers!$C$1:$C$1001, ,0))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c r="Q149" s="5">
        <f>_xlfn.XLOOKUP(Orders[[#This Row],[Product ID]],products!$A$1:$A$49,products!$G$1:$G$49) *Orders[[#This Row],[Quantity]]</f>
        <v>3.0249999999999999</v>
      </c>
    </row>
    <row r="150" spans="1:17" x14ac:dyDescent="0.25">
      <c r="A150" s="2" t="s">
        <v>1322</v>
      </c>
      <c r="B150" s="3">
        <v>44551</v>
      </c>
      <c r="C150" s="2" t="s">
        <v>1323</v>
      </c>
      <c r="D150" t="s">
        <v>6153</v>
      </c>
      <c r="E150" s="2">
        <v>5</v>
      </c>
      <c r="F150" s="2" t="str">
        <f>_xlfn.XLOOKUP(C150,customers!$A$1:$A$1001,customers!$B$1:$B$1001,,0)</f>
        <v>Giacobo Skingle</v>
      </c>
      <c r="G150" s="2" t="str">
        <f>IF(_xlfn.XLOOKUP(C150,customers!$A$1:$A$1001,customers!$C$1:$C$1001, ,0)=0,"",_xlfn.XLOOKUP(C150,customers!$A$1:$A$1001,customers!$C$1:$C$1001, ,0))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c r="Q150" s="5">
        <f>_xlfn.XLOOKUP(Orders[[#This Row],[Product ID]],products!$A$1:$A$49,products!$G$1:$G$49) *Orders[[#This Row],[Quantity]]</f>
        <v>2.00475</v>
      </c>
    </row>
    <row r="151" spans="1:17" x14ac:dyDescent="0.25">
      <c r="A151" s="2" t="s">
        <v>1328</v>
      </c>
      <c r="B151" s="3">
        <v>44108</v>
      </c>
      <c r="C151" s="2" t="s">
        <v>1329</v>
      </c>
      <c r="D151" t="s">
        <v>6175</v>
      </c>
      <c r="E151" s="2">
        <v>2</v>
      </c>
      <c r="F151" s="2" t="str">
        <f>_xlfn.XLOOKUP(C151,customers!$A$1:$A$1001,customers!$B$1:$B$1001,,0)</f>
        <v>Gerard Pirdy</v>
      </c>
      <c r="G151" s="2" t="str">
        <f>IF(_xlfn.XLOOKUP(C151,customers!$A$1:$A$1001,customers!$C$1:$C$1001, ,0)=0,"",_xlfn.XLOOKUP(C151,customers!$A$1:$A$1001,customers!$C$1:$C$1001, ,0))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c r="Q151" s="5">
        <f>_xlfn.XLOOKUP(Orders[[#This Row],[Product ID]],products!$A$1:$A$49,products!$G$1:$G$49) *Orders[[#This Row],[Quantity]]</f>
        <v>4.6574999999999989</v>
      </c>
    </row>
    <row r="152" spans="1:17"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 ,0)=0,"",_xlfn.XLOOKUP(C152,customers!$A$1:$A$1001,customers!$C$1:$C$1001, ,0))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c r="Q152" s="5">
        <f>_xlfn.XLOOKUP(Orders[[#This Row],[Product ID]],products!$A$1:$A$49,products!$G$1:$G$49) *Orders[[#This Row],[Quantity]]</f>
        <v>1.6835</v>
      </c>
    </row>
    <row r="153" spans="1:17"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 ,0)=0,"",_xlfn.XLOOKUP(C153,customers!$A$1:$A$1001,customers!$C$1:$C$1001, ,0))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c r="Q153" s="5">
        <f>_xlfn.XLOOKUP(Orders[[#This Row],[Product ID]],products!$A$1:$A$49,products!$G$1:$G$49) *Orders[[#This Row],[Quantity]]</f>
        <v>3.0374999999999996</v>
      </c>
    </row>
    <row r="154" spans="1:17" x14ac:dyDescent="0.25">
      <c r="A154" s="2" t="s">
        <v>1344</v>
      </c>
      <c r="B154" s="3">
        <v>44510</v>
      </c>
      <c r="C154" s="2" t="s">
        <v>1345</v>
      </c>
      <c r="D154" t="s">
        <v>6151</v>
      </c>
      <c r="E154" s="2">
        <v>3</v>
      </c>
      <c r="F154" s="2" t="str">
        <f>_xlfn.XLOOKUP(C154,customers!$A$1:$A$1001,customers!$B$1:$B$1001,,0)</f>
        <v>Bettina Leffek</v>
      </c>
      <c r="G154" s="2" t="str">
        <f>IF(_xlfn.XLOOKUP(C154,customers!$A$1:$A$1001,customers!$C$1:$C$1001, ,0)=0,"",_xlfn.XLOOKUP(C154,customers!$A$1:$A$1001,customers!$C$1:$C$1001, ,0))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c r="Q154" s="5">
        <f>_xlfn.XLOOKUP(Orders[[#This Row],[Product ID]],products!$A$1:$A$49,products!$G$1:$G$49) *Orders[[#This Row],[Quantity]]</f>
        <v>4.1192999999999991</v>
      </c>
    </row>
    <row r="155" spans="1:17" x14ac:dyDescent="0.25">
      <c r="A155" s="2" t="s">
        <v>1350</v>
      </c>
      <c r="B155" s="3">
        <v>44367</v>
      </c>
      <c r="C155" s="2" t="s">
        <v>1351</v>
      </c>
      <c r="D155" t="s">
        <v>6163</v>
      </c>
      <c r="E155" s="2">
        <v>1</v>
      </c>
      <c r="F155" s="2" t="str">
        <f>_xlfn.XLOOKUP(C155,customers!$A$1:$A$1001,customers!$B$1:$B$1001,,0)</f>
        <v>Hetti Penson</v>
      </c>
      <c r="G155" s="2" t="str">
        <f>IF(_xlfn.XLOOKUP(C155,customers!$A$1:$A$1001,customers!$C$1:$C$1001, ,0)=0,"",_xlfn.XLOOKUP(C155,customers!$A$1:$A$1001,customers!$C$1:$C$1001, ,0))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c r="Q155" s="5">
        <f>_xlfn.XLOOKUP(Orders[[#This Row],[Product ID]],products!$A$1:$A$49,products!$G$1:$G$49) *Orders[[#This Row],[Quantity]]</f>
        <v>0.16109999999999997</v>
      </c>
    </row>
    <row r="156" spans="1:17" x14ac:dyDescent="0.25">
      <c r="A156" s="2" t="s">
        <v>1355</v>
      </c>
      <c r="B156" s="3">
        <v>44473</v>
      </c>
      <c r="C156" s="2" t="s">
        <v>1356</v>
      </c>
      <c r="D156" t="s">
        <v>6168</v>
      </c>
      <c r="E156" s="2">
        <v>5</v>
      </c>
      <c r="F156" s="2" t="str">
        <f>_xlfn.XLOOKUP(C156,customers!$A$1:$A$1001,customers!$B$1:$B$1001,,0)</f>
        <v>Jocko Pray</v>
      </c>
      <c r="G156" s="2" t="str">
        <f>IF(_xlfn.XLOOKUP(C156,customers!$A$1:$A$1001,customers!$C$1:$C$1001, ,0)=0,"",_xlfn.XLOOKUP(C156,customers!$A$1:$A$1001,customers!$C$1:$C$1001, ,0))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c r="Q156" s="5">
        <f>_xlfn.XLOOKUP(Orders[[#This Row],[Product ID]],products!$A$1:$A$49,products!$G$1:$G$49) *Orders[[#This Row],[Quantity]]</f>
        <v>10.298249999999998</v>
      </c>
    </row>
    <row r="157" spans="1:17" x14ac:dyDescent="0.25">
      <c r="A157" s="2" t="s">
        <v>1361</v>
      </c>
      <c r="B157" s="3">
        <v>43640</v>
      </c>
      <c r="C157" s="2" t="s">
        <v>1362</v>
      </c>
      <c r="D157" t="s">
        <v>6175</v>
      </c>
      <c r="E157" s="2">
        <v>6</v>
      </c>
      <c r="F157" s="2" t="str">
        <f>_xlfn.XLOOKUP(C157,customers!$A$1:$A$1001,customers!$B$1:$B$1001,,0)</f>
        <v>Grete Holborn</v>
      </c>
      <c r="G157" s="2" t="str">
        <f>IF(_xlfn.XLOOKUP(C157,customers!$A$1:$A$1001,customers!$C$1:$C$1001, ,0)=0,"",_xlfn.XLOOKUP(C157,customers!$A$1:$A$1001,customers!$C$1:$C$1001, ,0))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c r="Q157" s="5">
        <f>_xlfn.XLOOKUP(Orders[[#This Row],[Product ID]],products!$A$1:$A$49,products!$G$1:$G$49) *Orders[[#This Row],[Quantity]]</f>
        <v>13.972499999999997</v>
      </c>
    </row>
    <row r="158" spans="1:17" x14ac:dyDescent="0.25">
      <c r="A158" s="2" t="s">
        <v>1367</v>
      </c>
      <c r="B158" s="3">
        <v>43764</v>
      </c>
      <c r="C158" s="2" t="s">
        <v>1368</v>
      </c>
      <c r="D158" t="s">
        <v>6175</v>
      </c>
      <c r="E158" s="2">
        <v>3</v>
      </c>
      <c r="F158" s="2" t="str">
        <f>_xlfn.XLOOKUP(C158,customers!$A$1:$A$1001,customers!$B$1:$B$1001,,0)</f>
        <v>Fielding Keinrat</v>
      </c>
      <c r="G158" s="2" t="str">
        <f>IF(_xlfn.XLOOKUP(C158,customers!$A$1:$A$1001,customers!$C$1:$C$1001, ,0)=0,"",_xlfn.XLOOKUP(C158,customers!$A$1:$A$1001,customers!$C$1:$C$1001, ,0))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c r="Q158" s="5">
        <f>_xlfn.XLOOKUP(Orders[[#This Row],[Product ID]],products!$A$1:$A$49,products!$G$1:$G$49) *Orders[[#This Row],[Quantity]]</f>
        <v>6.9862499999999983</v>
      </c>
    </row>
    <row r="159" spans="1:17" x14ac:dyDescent="0.25">
      <c r="A159" s="2" t="s">
        <v>1373</v>
      </c>
      <c r="B159" s="3">
        <v>44374</v>
      </c>
      <c r="C159" s="2" t="s">
        <v>1374</v>
      </c>
      <c r="D159" t="s">
        <v>6149</v>
      </c>
      <c r="E159" s="2">
        <v>3</v>
      </c>
      <c r="F159" s="2" t="str">
        <f>_xlfn.XLOOKUP(C159,customers!$A$1:$A$1001,customers!$B$1:$B$1001,,0)</f>
        <v>Paulo Yea</v>
      </c>
      <c r="G159" s="2" t="str">
        <f>IF(_xlfn.XLOOKUP(C159,customers!$A$1:$A$1001,customers!$C$1:$C$1001, ,0)=0,"",_xlfn.XLOOKUP(C159,customers!$A$1:$A$1001,customers!$C$1:$C$1001, ,0))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c r="Q159" s="5">
        <f>_xlfn.XLOOKUP(Orders[[#This Row],[Product ID]],products!$A$1:$A$49,products!$G$1:$G$49) *Orders[[#This Row],[Quantity]]</f>
        <v>3.7052999999999994</v>
      </c>
    </row>
    <row r="160" spans="1:17" x14ac:dyDescent="0.25">
      <c r="A160" s="2" t="s">
        <v>1379</v>
      </c>
      <c r="B160" s="3">
        <v>43714</v>
      </c>
      <c r="C160" s="2" t="s">
        <v>1380</v>
      </c>
      <c r="D160" t="s">
        <v>6149</v>
      </c>
      <c r="E160" s="2">
        <v>6</v>
      </c>
      <c r="F160" s="2" t="str">
        <f>_xlfn.XLOOKUP(C160,customers!$A$1:$A$1001,customers!$B$1:$B$1001,,0)</f>
        <v>Say Risborough</v>
      </c>
      <c r="G160" s="2" t="str">
        <f>IF(_xlfn.XLOOKUP(C160,customers!$A$1:$A$1001,customers!$C$1:$C$1001, ,0)=0,"",_xlfn.XLOOKUP(C160,customers!$A$1:$A$1001,customers!$C$1:$C$1001, ,0))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c r="Q160" s="5">
        <f>_xlfn.XLOOKUP(Orders[[#This Row],[Product ID]],products!$A$1:$A$49,products!$G$1:$G$49) *Orders[[#This Row],[Quantity]]</f>
        <v>7.4105999999999987</v>
      </c>
    </row>
    <row r="161" spans="1:17" x14ac:dyDescent="0.25">
      <c r="A161" s="2" t="s">
        <v>1384</v>
      </c>
      <c r="B161" s="3">
        <v>44316</v>
      </c>
      <c r="C161" s="2" t="s">
        <v>1385</v>
      </c>
      <c r="D161" t="s">
        <v>6164</v>
      </c>
      <c r="E161" s="2">
        <v>6</v>
      </c>
      <c r="F161" s="2" t="str">
        <f>_xlfn.XLOOKUP(C161,customers!$A$1:$A$1001,customers!$B$1:$B$1001,,0)</f>
        <v>Alexa Sizey</v>
      </c>
      <c r="G161" s="2" t="str">
        <f>IF(_xlfn.XLOOKUP(C161,customers!$A$1:$A$1001,customers!$C$1:$C$1001, ,0)=0,"",_xlfn.XLOOKUP(C161,customers!$A$1:$A$1001,customers!$C$1:$C$1001, ,0))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c r="Q161" s="5">
        <f>_xlfn.XLOOKUP(Orders[[#This Row],[Product ID]],products!$A$1:$A$49,products!$G$1:$G$49) *Orders[[#This Row],[Quantity]]</f>
        <v>28.434899999999999</v>
      </c>
    </row>
    <row r="162" spans="1:17" x14ac:dyDescent="0.25">
      <c r="A162" s="2" t="s">
        <v>1389</v>
      </c>
      <c r="B162" s="3">
        <v>43837</v>
      </c>
      <c r="C162" s="2" t="s">
        <v>1390</v>
      </c>
      <c r="D162" t="s">
        <v>6139</v>
      </c>
      <c r="E162" s="2">
        <v>4</v>
      </c>
      <c r="F162" s="2" t="str">
        <f>_xlfn.XLOOKUP(C162,customers!$A$1:$A$1001,customers!$B$1:$B$1001,,0)</f>
        <v>Kari Swede</v>
      </c>
      <c r="G162" s="2" t="str">
        <f>IF(_xlfn.XLOOKUP(C162,customers!$A$1:$A$1001,customers!$C$1:$C$1001, ,0)=0,"",_xlfn.XLOOKUP(C162,customers!$A$1:$A$1001,customers!$C$1:$C$1001, ,0))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c r="Q162" s="5">
        <f>_xlfn.XLOOKUP(Orders[[#This Row],[Product ID]],products!$A$1:$A$49,products!$G$1:$G$49) *Orders[[#This Row],[Quantity]]</f>
        <v>3.63</v>
      </c>
    </row>
    <row r="163" spans="1:17" x14ac:dyDescent="0.25">
      <c r="A163" s="2" t="s">
        <v>1395</v>
      </c>
      <c r="B163" s="3">
        <v>44207</v>
      </c>
      <c r="C163" s="2" t="s">
        <v>1396</v>
      </c>
      <c r="D163" t="s">
        <v>6180</v>
      </c>
      <c r="E163" s="2">
        <v>3</v>
      </c>
      <c r="F163" s="2" t="str">
        <f>_xlfn.XLOOKUP(C163,customers!$A$1:$A$1001,customers!$B$1:$B$1001,,0)</f>
        <v>Leontine Rubrow</v>
      </c>
      <c r="G163" s="2" t="str">
        <f>IF(_xlfn.XLOOKUP(C163,customers!$A$1:$A$1001,customers!$C$1:$C$1001, ,0)=0,"",_xlfn.XLOOKUP(C163,customers!$A$1:$A$1001,customers!$C$1:$C$1001, ,0))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c r="Q163" s="5">
        <f>_xlfn.XLOOKUP(Orders[[#This Row],[Product ID]],products!$A$1:$A$49,products!$G$1:$G$49) *Orders[[#This Row],[Quantity]]</f>
        <v>2.0978999999999997</v>
      </c>
    </row>
    <row r="164" spans="1:17" x14ac:dyDescent="0.25">
      <c r="A164" s="2" t="s">
        <v>1401</v>
      </c>
      <c r="B164" s="3">
        <v>44515</v>
      </c>
      <c r="C164" s="2" t="s">
        <v>1402</v>
      </c>
      <c r="D164" t="s">
        <v>6144</v>
      </c>
      <c r="E164" s="2">
        <v>3</v>
      </c>
      <c r="F164" s="2" t="str">
        <f>_xlfn.XLOOKUP(C164,customers!$A$1:$A$1001,customers!$B$1:$B$1001,,0)</f>
        <v>Dottie Tift</v>
      </c>
      <c r="G164" s="2" t="str">
        <f>IF(_xlfn.XLOOKUP(C164,customers!$A$1:$A$1001,customers!$C$1:$C$1001, ,0)=0,"",_xlfn.XLOOKUP(C164,customers!$A$1:$A$1001,customers!$C$1:$C$1001, ,0))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c r="Q164" s="5">
        <f>_xlfn.XLOOKUP(Orders[[#This Row],[Product ID]],products!$A$1:$A$49,products!$G$1:$G$49) *Orders[[#This Row],[Quantity]]</f>
        <v>2.4057000000000004</v>
      </c>
    </row>
    <row r="165" spans="1:17"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 ,0)=0,"",_xlfn.XLOOKUP(C165,customers!$A$1:$A$1001,customers!$C$1:$C$1001, ,0))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c r="Q165" s="5">
        <f>_xlfn.XLOOKUP(Orders[[#This Row],[Product ID]],products!$A$1:$A$49,products!$G$1:$G$49) *Orders[[#This Row],[Quantity]]</f>
        <v>0.96659999999999979</v>
      </c>
    </row>
    <row r="166" spans="1:17" x14ac:dyDescent="0.25">
      <c r="A166" s="2" t="s">
        <v>1413</v>
      </c>
      <c r="B166" s="3">
        <v>44182</v>
      </c>
      <c r="C166" s="2" t="s">
        <v>1414</v>
      </c>
      <c r="D166" t="s">
        <v>6144</v>
      </c>
      <c r="E166" s="2">
        <v>4</v>
      </c>
      <c r="F166" s="2" t="str">
        <f>_xlfn.XLOOKUP(C166,customers!$A$1:$A$1001,customers!$B$1:$B$1001,,0)</f>
        <v>Claiborne Feye</v>
      </c>
      <c r="G166" s="2" t="str">
        <f>IF(_xlfn.XLOOKUP(C166,customers!$A$1:$A$1001,customers!$C$1:$C$1001, ,0)=0,"",_xlfn.XLOOKUP(C166,customers!$A$1:$A$1001,customers!$C$1:$C$1001, ,0))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c r="Q166" s="5">
        <f>_xlfn.XLOOKUP(Orders[[#This Row],[Product ID]],products!$A$1:$A$49,products!$G$1:$G$49) *Orders[[#This Row],[Quantity]]</f>
        <v>3.2076000000000002</v>
      </c>
    </row>
    <row r="167" spans="1:17" x14ac:dyDescent="0.25">
      <c r="A167" s="2" t="s">
        <v>1420</v>
      </c>
      <c r="B167" s="3">
        <v>44234</v>
      </c>
      <c r="C167" s="2" t="s">
        <v>1421</v>
      </c>
      <c r="D167" t="s">
        <v>6177</v>
      </c>
      <c r="E167" s="2">
        <v>6</v>
      </c>
      <c r="F167" s="2" t="str">
        <f>_xlfn.XLOOKUP(C167,customers!$A$1:$A$1001,customers!$B$1:$B$1001,,0)</f>
        <v>Mina Elstone</v>
      </c>
      <c r="G167" s="2" t="str">
        <f>IF(_xlfn.XLOOKUP(C167,customers!$A$1:$A$1001,customers!$C$1:$C$1001, ,0)=0,"",_xlfn.XLOOKUP(C167,customers!$A$1:$A$1001,customers!$C$1:$C$1001, ,0))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c r="Q167" s="5">
        <f>_xlfn.XLOOKUP(Orders[[#This Row],[Product ID]],products!$A$1:$A$49,products!$G$1:$G$49) *Orders[[#This Row],[Quantity]]</f>
        <v>3.2219999999999995</v>
      </c>
    </row>
    <row r="168" spans="1:17" x14ac:dyDescent="0.25">
      <c r="A168" s="2" t="s">
        <v>1425</v>
      </c>
      <c r="B168" s="3">
        <v>44270</v>
      </c>
      <c r="C168" s="2" t="s">
        <v>1426</v>
      </c>
      <c r="D168" t="s">
        <v>6172</v>
      </c>
      <c r="E168" s="2">
        <v>5</v>
      </c>
      <c r="F168" s="2" t="str">
        <f>_xlfn.XLOOKUP(C168,customers!$A$1:$A$1001,customers!$B$1:$B$1001,,0)</f>
        <v>Sherman Mewrcik</v>
      </c>
      <c r="G168" s="2" t="str">
        <f>IF(_xlfn.XLOOKUP(C168,customers!$A$1:$A$1001,customers!$C$1:$C$1001, ,0)=0,"",_xlfn.XLOOKUP(C168,customers!$A$1:$A$1001,customers!$C$1:$C$1001, ,0))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c r="Q168" s="5">
        <f>_xlfn.XLOOKUP(Orders[[#This Row],[Product ID]],products!$A$1:$A$49,products!$G$1:$G$49) *Orders[[#This Row],[Quantity]]</f>
        <v>1.6109999999999998</v>
      </c>
    </row>
    <row r="169" spans="1:17" x14ac:dyDescent="0.25">
      <c r="A169" s="2" t="s">
        <v>1430</v>
      </c>
      <c r="B169" s="3">
        <v>44777</v>
      </c>
      <c r="C169" s="2" t="s">
        <v>1431</v>
      </c>
      <c r="D169" t="s">
        <v>6139</v>
      </c>
      <c r="E169" s="2">
        <v>5</v>
      </c>
      <c r="F169" s="2" t="str">
        <f>_xlfn.XLOOKUP(C169,customers!$A$1:$A$1001,customers!$B$1:$B$1001,,0)</f>
        <v>Tamarah Fero</v>
      </c>
      <c r="G169" s="2" t="str">
        <f>IF(_xlfn.XLOOKUP(C169,customers!$A$1:$A$1001,customers!$C$1:$C$1001, ,0)=0,"",_xlfn.XLOOKUP(C169,customers!$A$1:$A$1001,customers!$C$1:$C$1001, ,0))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c r="Q169" s="5">
        <f>_xlfn.XLOOKUP(Orders[[#This Row],[Product ID]],products!$A$1:$A$49,products!$G$1:$G$49) *Orders[[#This Row],[Quantity]]</f>
        <v>4.5374999999999996</v>
      </c>
    </row>
    <row r="170" spans="1:17"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 ,0)=0,"",_xlfn.XLOOKUP(C170,customers!$A$1:$A$1001,customers!$C$1:$C$1001, ,0))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c r="Q170" s="5">
        <f>_xlfn.XLOOKUP(Orders[[#This Row],[Product ID]],products!$A$1:$A$49,products!$G$1:$G$49) *Orders[[#This Row],[Quantity]]</f>
        <v>3.6449999999999996</v>
      </c>
    </row>
    <row r="171" spans="1:17" x14ac:dyDescent="0.25">
      <c r="A171" s="2" t="s">
        <v>1441</v>
      </c>
      <c r="B171" s="3">
        <v>44643</v>
      </c>
      <c r="C171" s="2" t="s">
        <v>1442</v>
      </c>
      <c r="D171" t="s">
        <v>6177</v>
      </c>
      <c r="E171" s="2">
        <v>2</v>
      </c>
      <c r="F171" s="2" t="str">
        <f>_xlfn.XLOOKUP(C171,customers!$A$1:$A$1001,customers!$B$1:$B$1001,,0)</f>
        <v>Felita Dauney</v>
      </c>
      <c r="G171" s="2" t="str">
        <f>IF(_xlfn.XLOOKUP(C171,customers!$A$1:$A$1001,customers!$C$1:$C$1001, ,0)=0,"",_xlfn.XLOOKUP(C171,customers!$A$1:$A$1001,customers!$C$1:$C$1001, ,0))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c r="Q171" s="5">
        <f>_xlfn.XLOOKUP(Orders[[#This Row],[Product ID]],products!$A$1:$A$49,products!$G$1:$G$49) *Orders[[#This Row],[Quantity]]</f>
        <v>1.0739999999999998</v>
      </c>
    </row>
    <row r="172" spans="1:17" x14ac:dyDescent="0.25">
      <c r="A172" s="2" t="s">
        <v>1448</v>
      </c>
      <c r="B172" s="3">
        <v>44476</v>
      </c>
      <c r="C172" s="2" t="s">
        <v>1449</v>
      </c>
      <c r="D172" t="s">
        <v>6148</v>
      </c>
      <c r="E172" s="2">
        <v>2</v>
      </c>
      <c r="F172" s="2" t="str">
        <f>_xlfn.XLOOKUP(C172,customers!$A$1:$A$1001,customers!$B$1:$B$1001,,0)</f>
        <v>Serena Earley</v>
      </c>
      <c r="G172" s="2" t="str">
        <f>IF(_xlfn.XLOOKUP(C172,customers!$A$1:$A$1001,customers!$C$1:$C$1001, ,0)=0,"",_xlfn.XLOOKUP(C172,customers!$A$1:$A$1001,customers!$C$1:$C$1001, ,0))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c r="Q172" s="5">
        <f>_xlfn.XLOOKUP(Orders[[#This Row],[Product ID]],products!$A$1:$A$49,products!$G$1:$G$49) *Orders[[#This Row],[Quantity]]</f>
        <v>7.5140999999999991</v>
      </c>
    </row>
    <row r="173" spans="1:17"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 ,0)=0,"",_xlfn.XLOOKUP(C173,customers!$A$1:$A$1001,customers!$C$1:$C$1001, ,0))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c r="Q173" s="5">
        <f>_xlfn.XLOOKUP(Orders[[#This Row],[Product ID]],products!$A$1:$A$49,products!$G$1:$G$49) *Orders[[#This Row],[Quantity]]</f>
        <v>6.9574999999999996</v>
      </c>
    </row>
    <row r="174" spans="1:17"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 ,0)=0,"",_xlfn.XLOOKUP(C174,customers!$A$1:$A$1001,customers!$C$1:$C$1001, ,0))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c r="Q174" s="5">
        <f>_xlfn.XLOOKUP(Orders[[#This Row],[Product ID]],products!$A$1:$A$49,products!$G$1:$G$49) *Orders[[#This Row],[Quantity]]</f>
        <v>2.4057000000000004</v>
      </c>
    </row>
    <row r="175" spans="1:17" x14ac:dyDescent="0.25">
      <c r="A175" s="2" t="s">
        <v>1464</v>
      </c>
      <c r="B175" s="3">
        <v>44720</v>
      </c>
      <c r="C175" s="2" t="s">
        <v>1465</v>
      </c>
      <c r="D175" t="s">
        <v>6151</v>
      </c>
      <c r="E175" s="2">
        <v>4</v>
      </c>
      <c r="F175" s="2" t="str">
        <f>_xlfn.XLOOKUP(C175,customers!$A$1:$A$1001,customers!$B$1:$B$1001,,0)</f>
        <v>Oran Colbeck</v>
      </c>
      <c r="G175" s="2" t="str">
        <f>IF(_xlfn.XLOOKUP(C175,customers!$A$1:$A$1001,customers!$C$1:$C$1001, ,0)=0,"",_xlfn.XLOOKUP(C175,customers!$A$1:$A$1001,customers!$C$1:$C$1001, ,0))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c r="Q175" s="5">
        <f>_xlfn.XLOOKUP(Orders[[#This Row],[Product ID]],products!$A$1:$A$49,products!$G$1:$G$49) *Orders[[#This Row],[Quantity]]</f>
        <v>5.4923999999999991</v>
      </c>
    </row>
    <row r="176" spans="1:17" x14ac:dyDescent="0.25">
      <c r="A176" s="2" t="s">
        <v>1470</v>
      </c>
      <c r="B176" s="3">
        <v>43813</v>
      </c>
      <c r="C176" s="2" t="s">
        <v>1471</v>
      </c>
      <c r="D176" t="s">
        <v>6148</v>
      </c>
      <c r="E176" s="2">
        <v>6</v>
      </c>
      <c r="F176" s="2" t="str">
        <f>_xlfn.XLOOKUP(C176,customers!$A$1:$A$1001,customers!$B$1:$B$1001,,0)</f>
        <v>Elysee Sketch</v>
      </c>
      <c r="G176" s="2" t="str">
        <f>IF(_xlfn.XLOOKUP(C176,customers!$A$1:$A$1001,customers!$C$1:$C$1001, ,0)=0,"",_xlfn.XLOOKUP(C176,customers!$A$1:$A$1001,customers!$C$1:$C$1001, ,0))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c r="Q176" s="5">
        <f>_xlfn.XLOOKUP(Orders[[#This Row],[Product ID]],products!$A$1:$A$49,products!$G$1:$G$49) *Orders[[#This Row],[Quantity]]</f>
        <v>22.542299999999997</v>
      </c>
    </row>
    <row r="177" spans="1:17" x14ac:dyDescent="0.25">
      <c r="A177" s="2" t="s">
        <v>1475</v>
      </c>
      <c r="B177" s="3">
        <v>44296</v>
      </c>
      <c r="C177" s="2" t="s">
        <v>1476</v>
      </c>
      <c r="D177" t="s">
        <v>6166</v>
      </c>
      <c r="E177" s="2">
        <v>2</v>
      </c>
      <c r="F177" s="2" t="str">
        <f>_xlfn.XLOOKUP(C177,customers!$A$1:$A$1001,customers!$B$1:$B$1001,,0)</f>
        <v>Ethelda Hobbing</v>
      </c>
      <c r="G177" s="2" t="str">
        <f>IF(_xlfn.XLOOKUP(C177,customers!$A$1:$A$1001,customers!$C$1:$C$1001, ,0)=0,"",_xlfn.XLOOKUP(C177,customers!$A$1:$A$1001,customers!$C$1:$C$1001, ,0))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c r="Q177" s="5">
        <f>_xlfn.XLOOKUP(Orders[[#This Row],[Product ID]],products!$A$1:$A$49,products!$G$1:$G$49) *Orders[[#This Row],[Quantity]]</f>
        <v>6.9574999999999996</v>
      </c>
    </row>
    <row r="178" spans="1:17" x14ac:dyDescent="0.25">
      <c r="A178" s="2" t="s">
        <v>1481</v>
      </c>
      <c r="B178" s="3">
        <v>43900</v>
      </c>
      <c r="C178" s="2" t="s">
        <v>1482</v>
      </c>
      <c r="D178" t="s">
        <v>6148</v>
      </c>
      <c r="E178" s="2">
        <v>1</v>
      </c>
      <c r="F178" s="2" t="str">
        <f>_xlfn.XLOOKUP(C178,customers!$A$1:$A$1001,customers!$B$1:$B$1001,,0)</f>
        <v>Odille Thynne</v>
      </c>
      <c r="G178" s="2" t="str">
        <f>IF(_xlfn.XLOOKUP(C178,customers!$A$1:$A$1001,customers!$C$1:$C$1001, ,0)=0,"",_xlfn.XLOOKUP(C178,customers!$A$1:$A$1001,customers!$C$1:$C$1001, ,0))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c r="Q178" s="5">
        <f>_xlfn.XLOOKUP(Orders[[#This Row],[Product ID]],products!$A$1:$A$49,products!$G$1:$G$49) *Orders[[#This Row],[Quantity]]</f>
        <v>3.7570499999999996</v>
      </c>
    </row>
    <row r="179" spans="1:17" x14ac:dyDescent="0.25">
      <c r="A179" s="2" t="s">
        <v>1487</v>
      </c>
      <c r="B179" s="3">
        <v>44120</v>
      </c>
      <c r="C179" s="2" t="s">
        <v>1488</v>
      </c>
      <c r="D179" t="s">
        <v>6142</v>
      </c>
      <c r="E179" s="2">
        <v>4</v>
      </c>
      <c r="F179" s="2" t="str">
        <f>_xlfn.XLOOKUP(C179,customers!$A$1:$A$1001,customers!$B$1:$B$1001,,0)</f>
        <v>Emlynne Heining</v>
      </c>
      <c r="G179" s="2" t="str">
        <f>IF(_xlfn.XLOOKUP(C179,customers!$A$1:$A$1001,customers!$C$1:$C$1001, ,0)=0,"",_xlfn.XLOOKUP(C179,customers!$A$1:$A$1001,customers!$C$1:$C$1001, ,0))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c r="Q179" s="5">
        <f>_xlfn.XLOOKUP(Orders[[#This Row],[Product ID]],products!$A$1:$A$49,products!$G$1:$G$49) *Orders[[#This Row],[Quantity]]</f>
        <v>6.5963999999999992</v>
      </c>
    </row>
    <row r="180" spans="1:17" x14ac:dyDescent="0.25">
      <c r="A180" s="2" t="s">
        <v>1492</v>
      </c>
      <c r="B180" s="3">
        <v>43746</v>
      </c>
      <c r="C180" s="2" t="s">
        <v>1493</v>
      </c>
      <c r="D180" t="s">
        <v>6140</v>
      </c>
      <c r="E180" s="2">
        <v>2</v>
      </c>
      <c r="F180" s="2" t="str">
        <f>_xlfn.XLOOKUP(C180,customers!$A$1:$A$1001,customers!$B$1:$B$1001,,0)</f>
        <v>Katerina Melloi</v>
      </c>
      <c r="G180" s="2" t="str">
        <f>IF(_xlfn.XLOOKUP(C180,customers!$A$1:$A$1001,customers!$C$1:$C$1001, ,0)=0,"",_xlfn.XLOOKUP(C180,customers!$A$1:$A$1001,customers!$C$1:$C$1001, ,0))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c r="Q180" s="5">
        <f>_xlfn.XLOOKUP(Orders[[#This Row],[Product ID]],products!$A$1:$A$49,products!$G$1:$G$49) *Orders[[#This Row],[Quantity]]</f>
        <v>2.331</v>
      </c>
    </row>
    <row r="181" spans="1:17"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 ,0)=0,"",_xlfn.XLOOKUP(C181,customers!$A$1:$A$1001,customers!$C$1:$C$1001, ,0))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c r="Q181" s="5">
        <f>_xlfn.XLOOKUP(Orders[[#This Row],[Product ID]],products!$A$1:$A$49,products!$G$1:$G$49) *Orders[[#This Row],[Quantity]]</f>
        <v>0.26865</v>
      </c>
    </row>
    <row r="182" spans="1:17" x14ac:dyDescent="0.25">
      <c r="A182" s="2" t="s">
        <v>1503</v>
      </c>
      <c r="B182" s="3">
        <v>43910</v>
      </c>
      <c r="C182" s="2" t="s">
        <v>1504</v>
      </c>
      <c r="D182" t="s">
        <v>6184</v>
      </c>
      <c r="E182" s="2">
        <v>5</v>
      </c>
      <c r="F182" s="2" t="str">
        <f>_xlfn.XLOOKUP(C182,customers!$A$1:$A$1001,customers!$B$1:$B$1001,,0)</f>
        <v>Abrahan Mussen</v>
      </c>
      <c r="G182" s="2" t="str">
        <f>IF(_xlfn.XLOOKUP(C182,customers!$A$1:$A$1001,customers!$C$1:$C$1001, ,0)=0,"",_xlfn.XLOOKUP(C182,customers!$A$1:$A$1001,customers!$C$1:$C$1001, ,0))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c r="Q182" s="5">
        <f>_xlfn.XLOOKUP(Orders[[#This Row],[Product ID]],products!$A$1:$A$49,products!$G$1:$G$49) *Orders[[#This Row],[Quantity]]</f>
        <v>2.45025</v>
      </c>
    </row>
    <row r="183" spans="1:17" x14ac:dyDescent="0.25">
      <c r="A183" s="2" t="s">
        <v>1503</v>
      </c>
      <c r="B183" s="3">
        <v>43910</v>
      </c>
      <c r="C183" s="2" t="s">
        <v>1504</v>
      </c>
      <c r="D183" t="s">
        <v>6158</v>
      </c>
      <c r="E183" s="2">
        <v>5</v>
      </c>
      <c r="F183" s="2" t="str">
        <f>_xlfn.XLOOKUP(C183,customers!$A$1:$A$1001,customers!$B$1:$B$1001,,0)</f>
        <v>Abrahan Mussen</v>
      </c>
      <c r="G183" s="2" t="str">
        <f>IF(_xlfn.XLOOKUP(C183,customers!$A$1:$A$1001,customers!$C$1:$C$1001, ,0)=0,"",_xlfn.XLOOKUP(C183,customers!$A$1:$A$1001,customers!$C$1:$C$1001, ,0))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c r="Q183" s="5">
        <f>_xlfn.XLOOKUP(Orders[[#This Row],[Product ID]],products!$A$1:$A$49,products!$G$1:$G$49) *Orders[[#This Row],[Quantity]]</f>
        <v>2.6865000000000001</v>
      </c>
    </row>
    <row r="184" spans="1:17" x14ac:dyDescent="0.25">
      <c r="A184" s="2" t="s">
        <v>1514</v>
      </c>
      <c r="B184" s="3">
        <v>44284</v>
      </c>
      <c r="C184" s="2" t="s">
        <v>1515</v>
      </c>
      <c r="D184" t="s">
        <v>6172</v>
      </c>
      <c r="E184" s="2">
        <v>6</v>
      </c>
      <c r="F184" s="2" t="str">
        <f>_xlfn.XLOOKUP(C184,customers!$A$1:$A$1001,customers!$B$1:$B$1001,,0)</f>
        <v>Anny Mundford</v>
      </c>
      <c r="G184" s="2" t="str">
        <f>IF(_xlfn.XLOOKUP(C184,customers!$A$1:$A$1001,customers!$C$1:$C$1001, ,0)=0,"",_xlfn.XLOOKUP(C184,customers!$A$1:$A$1001,customers!$C$1:$C$1001, ,0))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c r="Q184" s="5">
        <f>_xlfn.XLOOKUP(Orders[[#This Row],[Product ID]],products!$A$1:$A$49,products!$G$1:$G$49) *Orders[[#This Row],[Quantity]]</f>
        <v>1.9331999999999996</v>
      </c>
    </row>
    <row r="185" spans="1:17" x14ac:dyDescent="0.25">
      <c r="A185" s="2" t="s">
        <v>1520</v>
      </c>
      <c r="B185" s="3">
        <v>44512</v>
      </c>
      <c r="C185" s="2" t="s">
        <v>1521</v>
      </c>
      <c r="D185" t="s">
        <v>6156</v>
      </c>
      <c r="E185" s="2">
        <v>2</v>
      </c>
      <c r="F185" s="2" t="str">
        <f>_xlfn.XLOOKUP(C185,customers!$A$1:$A$1001,customers!$B$1:$B$1001,,0)</f>
        <v>Tory Walas</v>
      </c>
      <c r="G185" s="2" t="str">
        <f>IF(_xlfn.XLOOKUP(C185,customers!$A$1:$A$1001,customers!$C$1:$C$1001, ,0)=0,"",_xlfn.XLOOKUP(C185,customers!$A$1:$A$1001,customers!$C$1:$C$1001, ,0))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c r="Q185" s="5">
        <f>_xlfn.XLOOKUP(Orders[[#This Row],[Product ID]],products!$A$1:$A$49,products!$G$1:$G$49) *Orders[[#This Row],[Quantity]]</f>
        <v>0.90749999999999997</v>
      </c>
    </row>
    <row r="186" spans="1:17" x14ac:dyDescent="0.25">
      <c r="A186" s="2" t="s">
        <v>1526</v>
      </c>
      <c r="B186" s="3">
        <v>44397</v>
      </c>
      <c r="C186" s="2" t="s">
        <v>1527</v>
      </c>
      <c r="D186" t="s">
        <v>6180</v>
      </c>
      <c r="E186" s="2">
        <v>4</v>
      </c>
      <c r="F186" s="2" t="str">
        <f>_xlfn.XLOOKUP(C186,customers!$A$1:$A$1001,customers!$B$1:$B$1001,,0)</f>
        <v>Isa Blazewicz</v>
      </c>
      <c r="G186" s="2" t="str">
        <f>IF(_xlfn.XLOOKUP(C186,customers!$A$1:$A$1001,customers!$C$1:$C$1001, ,0)=0,"",_xlfn.XLOOKUP(C186,customers!$A$1:$A$1001,customers!$C$1:$C$1001, ,0))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c r="Q186" s="5">
        <f>_xlfn.XLOOKUP(Orders[[#This Row],[Product ID]],products!$A$1:$A$49,products!$G$1:$G$49) *Orders[[#This Row],[Quantity]]</f>
        <v>2.7971999999999997</v>
      </c>
    </row>
    <row r="187" spans="1:17" x14ac:dyDescent="0.25">
      <c r="A187" s="2" t="s">
        <v>1532</v>
      </c>
      <c r="B187" s="3">
        <v>43483</v>
      </c>
      <c r="C187" s="2" t="s">
        <v>1533</v>
      </c>
      <c r="D187" t="s">
        <v>6144</v>
      </c>
      <c r="E187" s="2">
        <v>5</v>
      </c>
      <c r="F187" s="2" t="str">
        <f>_xlfn.XLOOKUP(C187,customers!$A$1:$A$1001,customers!$B$1:$B$1001,,0)</f>
        <v>Angie Rizzetti</v>
      </c>
      <c r="G187" s="2" t="str">
        <f>IF(_xlfn.XLOOKUP(C187,customers!$A$1:$A$1001,customers!$C$1:$C$1001, ,0)=0,"",_xlfn.XLOOKUP(C187,customers!$A$1:$A$1001,customers!$C$1:$C$1001, ,0))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c r="Q187" s="5">
        <f>_xlfn.XLOOKUP(Orders[[#This Row],[Product ID]],products!$A$1:$A$49,products!$G$1:$G$49) *Orders[[#This Row],[Quantity]]</f>
        <v>4.0095000000000001</v>
      </c>
    </row>
    <row r="188" spans="1:17" x14ac:dyDescent="0.25">
      <c r="A188" s="2" t="s">
        <v>1538</v>
      </c>
      <c r="B188" s="3">
        <v>43684</v>
      </c>
      <c r="C188" s="2" t="s">
        <v>1539</v>
      </c>
      <c r="D188" t="s">
        <v>6151</v>
      </c>
      <c r="E188" s="2">
        <v>3</v>
      </c>
      <c r="F188" s="2" t="str">
        <f>_xlfn.XLOOKUP(C188,customers!$A$1:$A$1001,customers!$B$1:$B$1001,,0)</f>
        <v>Mord Meriet</v>
      </c>
      <c r="G188" s="2" t="str">
        <f>IF(_xlfn.XLOOKUP(C188,customers!$A$1:$A$1001,customers!$C$1:$C$1001, ,0)=0,"",_xlfn.XLOOKUP(C188,customers!$A$1:$A$1001,customers!$C$1:$C$1001, ,0))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c r="Q188" s="5">
        <f>_xlfn.XLOOKUP(Orders[[#This Row],[Product ID]],products!$A$1:$A$49,products!$G$1:$G$49) *Orders[[#This Row],[Quantity]]</f>
        <v>4.1192999999999991</v>
      </c>
    </row>
    <row r="189" spans="1:17" x14ac:dyDescent="0.25">
      <c r="A189" s="2" t="s">
        <v>1544</v>
      </c>
      <c r="B189" s="3">
        <v>44633</v>
      </c>
      <c r="C189" s="2" t="s">
        <v>1545</v>
      </c>
      <c r="D189" t="s">
        <v>6160</v>
      </c>
      <c r="E189" s="2">
        <v>5</v>
      </c>
      <c r="F189" s="2" t="str">
        <f>_xlfn.XLOOKUP(C189,customers!$A$1:$A$1001,customers!$B$1:$B$1001,,0)</f>
        <v>Lawrence Pratt</v>
      </c>
      <c r="G189" s="2" t="str">
        <f>IF(_xlfn.XLOOKUP(C189,customers!$A$1:$A$1001,customers!$C$1:$C$1001, ,0)=0,"",_xlfn.XLOOKUP(C189,customers!$A$1:$A$1001,customers!$C$1:$C$1001, ,0))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c r="Q189" s="5">
        <f>_xlfn.XLOOKUP(Orders[[#This Row],[Product ID]],products!$A$1:$A$49,products!$G$1:$G$49) *Orders[[#This Row],[Quantity]]</f>
        <v>5.6745000000000001</v>
      </c>
    </row>
    <row r="190" spans="1:17"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 ,0)=0,"",_xlfn.XLOOKUP(C190,customers!$A$1:$A$1001,customers!$C$1:$C$1001, ,0))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c r="Q190" s="5">
        <f>_xlfn.XLOOKUP(Orders[[#This Row],[Product ID]],products!$A$1:$A$49,products!$G$1:$G$49) *Orders[[#This Row],[Quantity]]</f>
        <v>0.49004999999999999</v>
      </c>
    </row>
    <row r="191" spans="1:17"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 ,0)=0,"",_xlfn.XLOOKUP(C191,customers!$A$1:$A$1001,customers!$C$1:$C$1001, ,0))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c r="Q191" s="5">
        <f>_xlfn.XLOOKUP(Orders[[#This Row],[Product ID]],products!$A$1:$A$49,products!$G$1:$G$49) *Orders[[#This Row],[Quantity]]</f>
        <v>5.6745000000000001</v>
      </c>
    </row>
    <row r="192" spans="1:17" x14ac:dyDescent="0.25">
      <c r="A192" s="2" t="s">
        <v>1561</v>
      </c>
      <c r="B192" s="3">
        <v>43845</v>
      </c>
      <c r="C192" s="2" t="s">
        <v>1562</v>
      </c>
      <c r="D192" t="s">
        <v>6181</v>
      </c>
      <c r="E192" s="2">
        <v>1</v>
      </c>
      <c r="F192" s="2" t="str">
        <f>_xlfn.XLOOKUP(C192,customers!$A$1:$A$1001,customers!$B$1:$B$1001,,0)</f>
        <v>Madelene Prinn</v>
      </c>
      <c r="G192" s="2" t="str">
        <f>IF(_xlfn.XLOOKUP(C192,customers!$A$1:$A$1001,customers!$C$1:$C$1001, ,0)=0,"",_xlfn.XLOOKUP(C192,customers!$A$1:$A$1001,customers!$C$1:$C$1001, ,0))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c r="Q192" s="5">
        <f>_xlfn.XLOOKUP(Orders[[#This Row],[Product ID]],products!$A$1:$A$49,products!$G$1:$G$49) *Orders[[#This Row],[Quantity]]</f>
        <v>4.3504499999999995</v>
      </c>
    </row>
    <row r="193" spans="1:17" x14ac:dyDescent="0.25">
      <c r="A193" s="2" t="s">
        <v>1567</v>
      </c>
      <c r="B193" s="3">
        <v>43567</v>
      </c>
      <c r="C193" s="2" t="s">
        <v>1568</v>
      </c>
      <c r="D193" t="s">
        <v>6150</v>
      </c>
      <c r="E193" s="2">
        <v>5</v>
      </c>
      <c r="F193" s="2" t="str">
        <f>_xlfn.XLOOKUP(C193,customers!$A$1:$A$1001,customers!$B$1:$B$1001,,0)</f>
        <v>Alisun Baudino</v>
      </c>
      <c r="G193" s="2" t="str">
        <f>IF(_xlfn.XLOOKUP(C193,customers!$A$1:$A$1001,customers!$C$1:$C$1001, ,0)=0,"",_xlfn.XLOOKUP(C193,customers!$A$1:$A$1001,customers!$C$1:$C$1001, ,0))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c r="Q193" s="5">
        <f>_xlfn.XLOOKUP(Orders[[#This Row],[Product ID]],products!$A$1:$A$49,products!$G$1:$G$49) *Orders[[#This Row],[Quantity]]</f>
        <v>2.5252499999999998</v>
      </c>
    </row>
    <row r="194" spans="1:17"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 ,0)=0,"",_xlfn.XLOOKUP(C194,customers!$A$1:$A$1001,customers!$C$1:$C$1001, ,0))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c r="Q194" s="5">
        <f>_xlfn.XLOOKUP(Orders[[#This Row],[Product ID]],products!$A$1:$A$49,products!$G$1:$G$49) *Orders[[#This Row],[Quantity]]</f>
        <v>8.0190000000000001</v>
      </c>
    </row>
    <row r="195" spans="1:17"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 ,0)=0,"",_xlfn.XLOOKUP(C195,customers!$A$1:$A$1001,customers!$C$1:$C$1001, ,0))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 = "Lib","Liberica"))))</f>
        <v>Excelsa</v>
      </c>
      <c r="O195" t="str">
        <f t="shared" ref="O195:O258" si="11">IF(J195="L","Light",IF(J195="M","Medium",IF(J195="D","Dark")))</f>
        <v>Light</v>
      </c>
      <c r="P195" t="str">
        <f>_xlfn.XLOOKUP(Orders[[#This Row],[Customer ID]],customers!$A$1:$A$1001,customers!$I$1:$I$1001,,0)</f>
        <v>No</v>
      </c>
      <c r="Q195" s="5">
        <f>_xlfn.XLOOKUP(Orders[[#This Row],[Product ID]],products!$A$1:$A$49,products!$G$1:$G$49) *Orders[[#This Row],[Quantity]]</f>
        <v>4.9005000000000001</v>
      </c>
    </row>
    <row r="196" spans="1:17" x14ac:dyDescent="0.25">
      <c r="A196" s="2" t="s">
        <v>1584</v>
      </c>
      <c r="B196" s="3">
        <v>44398</v>
      </c>
      <c r="C196" s="2" t="s">
        <v>1585</v>
      </c>
      <c r="D196" t="s">
        <v>6144</v>
      </c>
      <c r="E196" s="2">
        <v>5</v>
      </c>
      <c r="F196" s="2" t="str">
        <f>_xlfn.XLOOKUP(C196,customers!$A$1:$A$1001,customers!$B$1:$B$1001,,0)</f>
        <v>Emlynne Laird</v>
      </c>
      <c r="G196" s="2" t="str">
        <f>IF(_xlfn.XLOOKUP(C196,customers!$A$1:$A$1001,customers!$C$1:$C$1001, ,0)=0,"",_xlfn.XLOOKUP(C196,customers!$A$1:$A$1001,customers!$C$1:$C$1001, ,0))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c r="Q196" s="5">
        <f>_xlfn.XLOOKUP(Orders[[#This Row],[Product ID]],products!$A$1:$A$49,products!$G$1:$G$49) *Orders[[#This Row],[Quantity]]</f>
        <v>4.0095000000000001</v>
      </c>
    </row>
    <row r="197" spans="1:17" x14ac:dyDescent="0.25">
      <c r="A197" s="2" t="s">
        <v>1590</v>
      </c>
      <c r="B197" s="3">
        <v>43683</v>
      </c>
      <c r="C197" s="2" t="s">
        <v>1591</v>
      </c>
      <c r="D197" t="s">
        <v>6140</v>
      </c>
      <c r="E197" s="2">
        <v>3</v>
      </c>
      <c r="F197" s="2" t="str">
        <f>_xlfn.XLOOKUP(C197,customers!$A$1:$A$1001,customers!$B$1:$B$1001,,0)</f>
        <v>Marlena Howsden</v>
      </c>
      <c r="G197" s="2" t="str">
        <f>IF(_xlfn.XLOOKUP(C197,customers!$A$1:$A$1001,customers!$C$1:$C$1001, ,0)=0,"",_xlfn.XLOOKUP(C197,customers!$A$1:$A$1001,customers!$C$1:$C$1001, ,0))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c r="Q197" s="5">
        <f>_xlfn.XLOOKUP(Orders[[#This Row],[Product ID]],products!$A$1:$A$49,products!$G$1:$G$49) *Orders[[#This Row],[Quantity]]</f>
        <v>3.4965000000000002</v>
      </c>
    </row>
    <row r="198" spans="1:17" x14ac:dyDescent="0.25">
      <c r="A198" s="2" t="s">
        <v>1596</v>
      </c>
      <c r="B198" s="3">
        <v>44339</v>
      </c>
      <c r="C198" s="2" t="s">
        <v>1597</v>
      </c>
      <c r="D198" t="s">
        <v>6176</v>
      </c>
      <c r="E198" s="2">
        <v>6</v>
      </c>
      <c r="F198" s="2" t="str">
        <f>_xlfn.XLOOKUP(C198,customers!$A$1:$A$1001,customers!$B$1:$B$1001,,0)</f>
        <v>Nealson Cuttler</v>
      </c>
      <c r="G198" s="2" t="str">
        <f>IF(_xlfn.XLOOKUP(C198,customers!$A$1:$A$1001,customers!$C$1:$C$1001, ,0)=0,"",_xlfn.XLOOKUP(C198,customers!$A$1:$A$1001,customers!$C$1:$C$1001, ,0))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c r="Q198" s="5">
        <f>_xlfn.XLOOKUP(Orders[[#This Row],[Product ID]],products!$A$1:$A$49,products!$G$1:$G$49) *Orders[[#This Row],[Quantity]]</f>
        <v>5.8805999999999994</v>
      </c>
    </row>
    <row r="199" spans="1:17" x14ac:dyDescent="0.25">
      <c r="A199" s="2" t="s">
        <v>1596</v>
      </c>
      <c r="B199" s="3">
        <v>44339</v>
      </c>
      <c r="C199" s="2" t="s">
        <v>1597</v>
      </c>
      <c r="D199" t="s">
        <v>6165</v>
      </c>
      <c r="E199" s="2">
        <v>2</v>
      </c>
      <c r="F199" s="2" t="str">
        <f>_xlfn.XLOOKUP(C199,customers!$A$1:$A$1001,customers!$B$1:$B$1001,,0)</f>
        <v>Nealson Cuttler</v>
      </c>
      <c r="G199" s="2" t="str">
        <f>IF(_xlfn.XLOOKUP(C199,customers!$A$1:$A$1001,customers!$C$1:$C$1001, ,0)=0,"",_xlfn.XLOOKUP(C199,customers!$A$1:$A$1001,customers!$C$1:$C$1001, ,0))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c r="Q199" s="5">
        <f>_xlfn.XLOOKUP(Orders[[#This Row],[Product ID]],products!$A$1:$A$49,products!$G$1:$G$49) *Orders[[#This Row],[Quantity]]</f>
        <v>7.7440999999999995</v>
      </c>
    </row>
    <row r="200" spans="1:17" x14ac:dyDescent="0.25">
      <c r="A200" s="2" t="s">
        <v>1596</v>
      </c>
      <c r="B200" s="3">
        <v>44339</v>
      </c>
      <c r="C200" s="2" t="s">
        <v>1597</v>
      </c>
      <c r="D200" t="s">
        <v>6165</v>
      </c>
      <c r="E200" s="2">
        <v>3</v>
      </c>
      <c r="F200" s="2" t="str">
        <f>_xlfn.XLOOKUP(C200,customers!$A$1:$A$1001,customers!$B$1:$B$1001,,0)</f>
        <v>Nealson Cuttler</v>
      </c>
      <c r="G200" s="2" t="str">
        <f>IF(_xlfn.XLOOKUP(C200,customers!$A$1:$A$1001,customers!$C$1:$C$1001, ,0)=0,"",_xlfn.XLOOKUP(C200,customers!$A$1:$A$1001,customers!$C$1:$C$1001, ,0))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c r="Q200" s="5">
        <f>_xlfn.XLOOKUP(Orders[[#This Row],[Product ID]],products!$A$1:$A$49,products!$G$1:$G$49) *Orders[[#This Row],[Quantity]]</f>
        <v>11.616149999999999</v>
      </c>
    </row>
    <row r="201" spans="1:17" x14ac:dyDescent="0.25">
      <c r="A201" s="2" t="s">
        <v>1596</v>
      </c>
      <c r="B201" s="3">
        <v>44339</v>
      </c>
      <c r="C201" s="2" t="s">
        <v>1597</v>
      </c>
      <c r="D201" t="s">
        <v>6161</v>
      </c>
      <c r="E201" s="2">
        <v>4</v>
      </c>
      <c r="F201" s="2" t="str">
        <f>_xlfn.XLOOKUP(C201,customers!$A$1:$A$1001,customers!$B$1:$B$1001,,0)</f>
        <v>Nealson Cuttler</v>
      </c>
      <c r="G201" s="2" t="str">
        <f>IF(_xlfn.XLOOKUP(C201,customers!$A$1:$A$1001,customers!$C$1:$C$1001, ,0)=0,"",_xlfn.XLOOKUP(C201,customers!$A$1:$A$1001,customers!$C$1:$C$1001, ,0))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c r="Q201" s="5">
        <f>_xlfn.XLOOKUP(Orders[[#This Row],[Product ID]],products!$A$1:$A$49,products!$G$1:$G$49) *Orders[[#This Row],[Quantity]]</f>
        <v>4.9451999999999998</v>
      </c>
    </row>
    <row r="202" spans="1:17" x14ac:dyDescent="0.25">
      <c r="A202" s="2" t="s">
        <v>1596</v>
      </c>
      <c r="B202" s="3">
        <v>44339</v>
      </c>
      <c r="C202" s="2" t="s">
        <v>1597</v>
      </c>
      <c r="D202" t="s">
        <v>6141</v>
      </c>
      <c r="E202" s="2">
        <v>3</v>
      </c>
      <c r="F202" s="2" t="str">
        <f>_xlfn.XLOOKUP(C202,customers!$A$1:$A$1001,customers!$B$1:$B$1001,,0)</f>
        <v>Nealson Cuttler</v>
      </c>
      <c r="G202" s="2" t="str">
        <f>IF(_xlfn.XLOOKUP(C202,customers!$A$1:$A$1001,customers!$C$1:$C$1001, ,0)=0,"",_xlfn.XLOOKUP(C202,customers!$A$1:$A$1001,customers!$C$1:$C$1001, ,0))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c r="Q202" s="5">
        <f>_xlfn.XLOOKUP(Orders[[#This Row],[Product ID]],products!$A$1:$A$49,products!$G$1:$G$49) *Orders[[#This Row],[Quantity]]</f>
        <v>4.5374999999999996</v>
      </c>
    </row>
    <row r="203" spans="1:17" x14ac:dyDescent="0.25">
      <c r="A203" s="2" t="s">
        <v>1621</v>
      </c>
      <c r="B203" s="3">
        <v>44294</v>
      </c>
      <c r="C203" s="2" t="s">
        <v>1622</v>
      </c>
      <c r="D203" t="s">
        <v>6161</v>
      </c>
      <c r="E203" s="2">
        <v>6</v>
      </c>
      <c r="F203" s="2" t="str">
        <f>_xlfn.XLOOKUP(C203,customers!$A$1:$A$1001,customers!$B$1:$B$1001,,0)</f>
        <v>Adriana Lazarus</v>
      </c>
      <c r="G203" s="2" t="str">
        <f>IF(_xlfn.XLOOKUP(C203,customers!$A$1:$A$1001,customers!$C$1:$C$1001, ,0)=0,"",_xlfn.XLOOKUP(C203,customers!$A$1:$A$1001,customers!$C$1:$C$1001, ,0))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c r="Q203" s="5">
        <f>_xlfn.XLOOKUP(Orders[[#This Row],[Product ID]],products!$A$1:$A$49,products!$G$1:$G$49) *Orders[[#This Row],[Quantity]]</f>
        <v>7.4177999999999997</v>
      </c>
    </row>
    <row r="204" spans="1:17" x14ac:dyDescent="0.25">
      <c r="A204" s="2" t="s">
        <v>1626</v>
      </c>
      <c r="B204" s="3">
        <v>44486</v>
      </c>
      <c r="C204" s="2" t="s">
        <v>1627</v>
      </c>
      <c r="D204" t="s">
        <v>6165</v>
      </c>
      <c r="E204" s="2">
        <v>6</v>
      </c>
      <c r="F204" s="2" t="str">
        <f>_xlfn.XLOOKUP(C204,customers!$A$1:$A$1001,customers!$B$1:$B$1001,,0)</f>
        <v>Tallie felip</v>
      </c>
      <c r="G204" s="2" t="str">
        <f>IF(_xlfn.XLOOKUP(C204,customers!$A$1:$A$1001,customers!$C$1:$C$1001, ,0)=0,"",_xlfn.XLOOKUP(C204,customers!$A$1:$A$1001,customers!$C$1:$C$1001, ,0))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c r="Q204" s="5">
        <f>_xlfn.XLOOKUP(Orders[[#This Row],[Product ID]],products!$A$1:$A$49,products!$G$1:$G$49) *Orders[[#This Row],[Quantity]]</f>
        <v>23.232299999999999</v>
      </c>
    </row>
    <row r="205" spans="1:17" x14ac:dyDescent="0.25">
      <c r="A205" s="2" t="s">
        <v>1632</v>
      </c>
      <c r="B205" s="3">
        <v>44608</v>
      </c>
      <c r="C205" s="2" t="s">
        <v>1633</v>
      </c>
      <c r="D205" t="s">
        <v>6145</v>
      </c>
      <c r="E205" s="2">
        <v>1</v>
      </c>
      <c r="F205" s="2" t="str">
        <f>_xlfn.XLOOKUP(C205,customers!$A$1:$A$1001,customers!$B$1:$B$1001,,0)</f>
        <v>Vanna Le - Count</v>
      </c>
      <c r="G205" s="2" t="str">
        <f>IF(_xlfn.XLOOKUP(C205,customers!$A$1:$A$1001,customers!$C$1:$C$1001, ,0)=0,"",_xlfn.XLOOKUP(C205,customers!$A$1:$A$1001,customers!$C$1:$C$1001, ,0))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c r="Q205" s="5">
        <f>_xlfn.XLOOKUP(Orders[[#This Row],[Product ID]],products!$A$1:$A$49,products!$G$1:$G$49) *Orders[[#This Row],[Quantity]]</f>
        <v>0.61814999999999998</v>
      </c>
    </row>
    <row r="206" spans="1:17" x14ac:dyDescent="0.25">
      <c r="A206" s="2" t="s">
        <v>1638</v>
      </c>
      <c r="B206" s="3">
        <v>44027</v>
      </c>
      <c r="C206" s="2" t="s">
        <v>1639</v>
      </c>
      <c r="D206" t="s">
        <v>6141</v>
      </c>
      <c r="E206" s="2">
        <v>6</v>
      </c>
      <c r="F206" s="2" t="str">
        <f>_xlfn.XLOOKUP(C206,customers!$A$1:$A$1001,customers!$B$1:$B$1001,,0)</f>
        <v>Sarette Ducarel</v>
      </c>
      <c r="G206" s="2" t="str">
        <f>IF(_xlfn.XLOOKUP(C206,customers!$A$1:$A$1001,customers!$C$1:$C$1001, ,0)=0,"",_xlfn.XLOOKUP(C206,customers!$A$1:$A$1001,customers!$C$1:$C$1001, ,0))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c r="Q206" s="5">
        <f>_xlfn.XLOOKUP(Orders[[#This Row],[Product ID]],products!$A$1:$A$49,products!$G$1:$G$49) *Orders[[#This Row],[Quantity]]</f>
        <v>9.0749999999999993</v>
      </c>
    </row>
    <row r="207" spans="1:17" x14ac:dyDescent="0.25">
      <c r="A207" s="2" t="s">
        <v>1643</v>
      </c>
      <c r="B207" s="3">
        <v>43883</v>
      </c>
      <c r="C207" s="2" t="s">
        <v>1644</v>
      </c>
      <c r="D207" t="s">
        <v>6163</v>
      </c>
      <c r="E207" s="2">
        <v>3</v>
      </c>
      <c r="F207" s="2" t="str">
        <f>_xlfn.XLOOKUP(C207,customers!$A$1:$A$1001,customers!$B$1:$B$1001,,0)</f>
        <v>Kendra Glison</v>
      </c>
      <c r="G207" s="2" t="str">
        <f>IF(_xlfn.XLOOKUP(C207,customers!$A$1:$A$1001,customers!$C$1:$C$1001, ,0)=0,"",_xlfn.XLOOKUP(C207,customers!$A$1:$A$1001,customers!$C$1:$C$1001, ,0))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c r="Q207" s="5">
        <f>_xlfn.XLOOKUP(Orders[[#This Row],[Product ID]],products!$A$1:$A$49,products!$G$1:$G$49) *Orders[[#This Row],[Quantity]]</f>
        <v>0.4832999999999999</v>
      </c>
    </row>
    <row r="208" spans="1:17" x14ac:dyDescent="0.25">
      <c r="A208" s="2" t="s">
        <v>1648</v>
      </c>
      <c r="B208" s="3">
        <v>44211</v>
      </c>
      <c r="C208" s="2" t="s">
        <v>1649</v>
      </c>
      <c r="D208" t="s">
        <v>6155</v>
      </c>
      <c r="E208" s="2">
        <v>2</v>
      </c>
      <c r="F208" s="2" t="str">
        <f>_xlfn.XLOOKUP(C208,customers!$A$1:$A$1001,customers!$B$1:$B$1001,,0)</f>
        <v>Nertie Poolman</v>
      </c>
      <c r="G208" s="2" t="str">
        <f>IF(_xlfn.XLOOKUP(C208,customers!$A$1:$A$1001,customers!$C$1:$C$1001, ,0)=0,"",_xlfn.XLOOKUP(C208,customers!$A$1:$A$1001,customers!$C$1:$C$1001, ,0))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c r="Q208" s="5">
        <f>_xlfn.XLOOKUP(Orders[[#This Row],[Product ID]],products!$A$1:$A$49,products!$G$1:$G$49) *Orders[[#This Row],[Quantity]]</f>
        <v>2.0249999999999999</v>
      </c>
    </row>
    <row r="209" spans="1:17" x14ac:dyDescent="0.25">
      <c r="A209" s="2" t="s">
        <v>1653</v>
      </c>
      <c r="B209" s="3">
        <v>44207</v>
      </c>
      <c r="C209" s="2" t="s">
        <v>1654</v>
      </c>
      <c r="D209" t="s">
        <v>6157</v>
      </c>
      <c r="E209" s="2">
        <v>6</v>
      </c>
      <c r="F209" s="2" t="str">
        <f>_xlfn.XLOOKUP(C209,customers!$A$1:$A$1001,customers!$B$1:$B$1001,,0)</f>
        <v>Orbadiah Duny</v>
      </c>
      <c r="G209" s="2" t="str">
        <f>IF(_xlfn.XLOOKUP(C209,customers!$A$1:$A$1001,customers!$C$1:$C$1001, ,0)=0,"",_xlfn.XLOOKUP(C209,customers!$A$1:$A$1001,customers!$C$1:$C$1001, ,0))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c r="Q209" s="5">
        <f>_xlfn.XLOOKUP(Orders[[#This Row],[Product ID]],products!$A$1:$A$49,products!$G$1:$G$49) *Orders[[#This Row],[Quantity]]</f>
        <v>3.6449999999999996</v>
      </c>
    </row>
    <row r="210" spans="1:17"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 ,0)=0,"",_xlfn.XLOOKUP(C210,customers!$A$1:$A$1001,customers!$C$1:$C$1001, ,0))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c r="Q210" s="5">
        <f>_xlfn.XLOOKUP(Orders[[#This Row],[Product ID]],products!$A$1:$A$49,products!$G$1:$G$49) *Orders[[#This Row],[Quantity]]</f>
        <v>3.2076000000000002</v>
      </c>
    </row>
    <row r="211" spans="1:17"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 ,0)=0,"",_xlfn.XLOOKUP(C211,customers!$A$1:$A$1001,customers!$C$1:$C$1001, ,0))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c r="Q211" s="5">
        <f>_xlfn.XLOOKUP(Orders[[#This Row],[Product ID]],products!$A$1:$A$49,products!$G$1:$G$49) *Orders[[#This Row],[Quantity]]</f>
        <v>0.60749999999999993</v>
      </c>
    </row>
    <row r="212" spans="1:17" x14ac:dyDescent="0.25">
      <c r="A212" s="2" t="s">
        <v>1671</v>
      </c>
      <c r="B212" s="3">
        <v>43766</v>
      </c>
      <c r="C212" s="2" t="s">
        <v>1672</v>
      </c>
      <c r="D212" t="s">
        <v>6143</v>
      </c>
      <c r="E212" s="2">
        <v>4</v>
      </c>
      <c r="F212" s="2" t="str">
        <f>_xlfn.XLOOKUP(C212,customers!$A$1:$A$1001,customers!$B$1:$B$1001,,0)</f>
        <v>Anselma Attwater</v>
      </c>
      <c r="G212" s="2" t="str">
        <f>IF(_xlfn.XLOOKUP(C212,customers!$A$1:$A$1001,customers!$C$1:$C$1001, ,0)=0,"",_xlfn.XLOOKUP(C212,customers!$A$1:$A$1001,customers!$C$1:$C$1001, ,0))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c r="Q212" s="5">
        <f>_xlfn.XLOOKUP(Orders[[#This Row],[Product ID]],products!$A$1:$A$49,products!$G$1:$G$49) *Orders[[#This Row],[Quantity]]</f>
        <v>6.734</v>
      </c>
    </row>
    <row r="213" spans="1:17" x14ac:dyDescent="0.25">
      <c r="A213" s="2" t="s">
        <v>1677</v>
      </c>
      <c r="B213" s="3">
        <v>44283</v>
      </c>
      <c r="C213" s="2" t="s">
        <v>1678</v>
      </c>
      <c r="D213" t="s">
        <v>6176</v>
      </c>
      <c r="E213" s="2">
        <v>6</v>
      </c>
      <c r="F213" s="2" t="str">
        <f>_xlfn.XLOOKUP(C213,customers!$A$1:$A$1001,customers!$B$1:$B$1001,,0)</f>
        <v>Minette Whellans</v>
      </c>
      <c r="G213" s="2" t="str">
        <f>IF(_xlfn.XLOOKUP(C213,customers!$A$1:$A$1001,customers!$C$1:$C$1001, ,0)=0,"",_xlfn.XLOOKUP(C213,customers!$A$1:$A$1001,customers!$C$1:$C$1001, ,0))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c r="Q213" s="5">
        <f>_xlfn.XLOOKUP(Orders[[#This Row],[Product ID]],products!$A$1:$A$49,products!$G$1:$G$49) *Orders[[#This Row],[Quantity]]</f>
        <v>5.8805999999999994</v>
      </c>
    </row>
    <row r="214" spans="1:17" x14ac:dyDescent="0.25">
      <c r="A214" s="2" t="s">
        <v>1682</v>
      </c>
      <c r="B214" s="3">
        <v>43921</v>
      </c>
      <c r="C214" s="2" t="s">
        <v>1683</v>
      </c>
      <c r="D214" t="s">
        <v>6153</v>
      </c>
      <c r="E214" s="2">
        <v>4</v>
      </c>
      <c r="F214" s="2" t="str">
        <f>_xlfn.XLOOKUP(C214,customers!$A$1:$A$1001,customers!$B$1:$B$1001,,0)</f>
        <v>Dael Camilletti</v>
      </c>
      <c r="G214" s="2" t="str">
        <f>IF(_xlfn.XLOOKUP(C214,customers!$A$1:$A$1001,customers!$C$1:$C$1001, ,0)=0,"",_xlfn.XLOOKUP(C214,customers!$A$1:$A$1001,customers!$C$1:$C$1001, ,0))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c r="Q214" s="5">
        <f>_xlfn.XLOOKUP(Orders[[#This Row],[Product ID]],products!$A$1:$A$49,products!$G$1:$G$49) *Orders[[#This Row],[Quantity]]</f>
        <v>1.6038000000000001</v>
      </c>
    </row>
    <row r="215" spans="1:17" x14ac:dyDescent="0.25">
      <c r="A215" s="2" t="s">
        <v>1688</v>
      </c>
      <c r="B215" s="3">
        <v>44646</v>
      </c>
      <c r="C215" s="2" t="s">
        <v>1689</v>
      </c>
      <c r="D215" t="s">
        <v>6149</v>
      </c>
      <c r="E215" s="2">
        <v>1</v>
      </c>
      <c r="F215" s="2" t="str">
        <f>_xlfn.XLOOKUP(C215,customers!$A$1:$A$1001,customers!$B$1:$B$1001,,0)</f>
        <v>Emiline Galgey</v>
      </c>
      <c r="G215" s="2" t="str">
        <f>IF(_xlfn.XLOOKUP(C215,customers!$A$1:$A$1001,customers!$C$1:$C$1001, ,0)=0,"",_xlfn.XLOOKUP(C215,customers!$A$1:$A$1001,customers!$C$1:$C$1001, ,0))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c r="Q215" s="5">
        <f>_xlfn.XLOOKUP(Orders[[#This Row],[Product ID]],products!$A$1:$A$49,products!$G$1:$G$49) *Orders[[#This Row],[Quantity]]</f>
        <v>1.2350999999999999</v>
      </c>
    </row>
    <row r="216" spans="1:17" x14ac:dyDescent="0.25">
      <c r="A216" s="2" t="s">
        <v>1694</v>
      </c>
      <c r="B216" s="3">
        <v>43775</v>
      </c>
      <c r="C216" s="2" t="s">
        <v>1695</v>
      </c>
      <c r="D216" t="s">
        <v>6170</v>
      </c>
      <c r="E216" s="2">
        <v>2</v>
      </c>
      <c r="F216" s="2" t="str">
        <f>_xlfn.XLOOKUP(C216,customers!$A$1:$A$1001,customers!$B$1:$B$1001,,0)</f>
        <v>Murdock Hame</v>
      </c>
      <c r="G216" s="2" t="str">
        <f>IF(_xlfn.XLOOKUP(C216,customers!$A$1:$A$1001,customers!$C$1:$C$1001, ,0)=0,"",_xlfn.XLOOKUP(C216,customers!$A$1:$A$1001,customers!$C$1:$C$1001, ,0))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c r="Q216" s="5">
        <f>_xlfn.XLOOKUP(Orders[[#This Row],[Product ID]],products!$A$1:$A$49,products!$G$1:$G$49) *Orders[[#This Row],[Quantity]]</f>
        <v>4.1210000000000004</v>
      </c>
    </row>
    <row r="217" spans="1:17" x14ac:dyDescent="0.25">
      <c r="A217" s="2" t="s">
        <v>1701</v>
      </c>
      <c r="B217" s="3">
        <v>43829</v>
      </c>
      <c r="C217" s="2" t="s">
        <v>1702</v>
      </c>
      <c r="D217" t="s">
        <v>6150</v>
      </c>
      <c r="E217" s="2">
        <v>6</v>
      </c>
      <c r="F217" s="2" t="str">
        <f>_xlfn.XLOOKUP(C217,customers!$A$1:$A$1001,customers!$B$1:$B$1001,,0)</f>
        <v>Ilka Gurnee</v>
      </c>
      <c r="G217" s="2" t="str">
        <f>IF(_xlfn.XLOOKUP(C217,customers!$A$1:$A$1001,customers!$C$1:$C$1001, ,0)=0,"",_xlfn.XLOOKUP(C217,customers!$A$1:$A$1001,customers!$C$1:$C$1001, ,0))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c r="Q217" s="5">
        <f>_xlfn.XLOOKUP(Orders[[#This Row],[Product ID]],products!$A$1:$A$49,products!$G$1:$G$49) *Orders[[#This Row],[Quantity]]</f>
        <v>3.0303</v>
      </c>
    </row>
    <row r="218" spans="1:17" x14ac:dyDescent="0.25">
      <c r="A218" s="2" t="s">
        <v>1707</v>
      </c>
      <c r="B218" s="3">
        <v>44470</v>
      </c>
      <c r="C218" s="2" t="s">
        <v>1708</v>
      </c>
      <c r="D218" t="s">
        <v>6162</v>
      </c>
      <c r="E218" s="2">
        <v>4</v>
      </c>
      <c r="F218" s="2" t="str">
        <f>_xlfn.XLOOKUP(C218,customers!$A$1:$A$1001,customers!$B$1:$B$1001,,0)</f>
        <v>Alfy Snowding</v>
      </c>
      <c r="G218" s="2" t="str">
        <f>IF(_xlfn.XLOOKUP(C218,customers!$A$1:$A$1001,customers!$C$1:$C$1001, ,0)=0,"",_xlfn.XLOOKUP(C218,customers!$A$1:$A$1001,customers!$C$1:$C$1001, ,0))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c r="Q218" s="5">
        <f>_xlfn.XLOOKUP(Orders[[#This Row],[Product ID]],products!$A$1:$A$49,products!$G$1:$G$49) *Orders[[#This Row],[Quantity]]</f>
        <v>7.5660000000000007</v>
      </c>
    </row>
    <row r="219" spans="1:17" x14ac:dyDescent="0.25">
      <c r="A219" s="2" t="s">
        <v>1713</v>
      </c>
      <c r="B219" s="3">
        <v>44174</v>
      </c>
      <c r="C219" s="2" t="s">
        <v>1714</v>
      </c>
      <c r="D219" t="s">
        <v>6176</v>
      </c>
      <c r="E219" s="2">
        <v>4</v>
      </c>
      <c r="F219" s="2" t="str">
        <f>_xlfn.XLOOKUP(C219,customers!$A$1:$A$1001,customers!$B$1:$B$1001,,0)</f>
        <v>Godfry Poinsett</v>
      </c>
      <c r="G219" s="2" t="str">
        <f>IF(_xlfn.XLOOKUP(C219,customers!$A$1:$A$1001,customers!$C$1:$C$1001, ,0)=0,"",_xlfn.XLOOKUP(C219,customers!$A$1:$A$1001,customers!$C$1:$C$1001, ,0))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c r="Q219" s="5">
        <f>_xlfn.XLOOKUP(Orders[[#This Row],[Product ID]],products!$A$1:$A$49,products!$G$1:$G$49) *Orders[[#This Row],[Quantity]]</f>
        <v>3.9203999999999999</v>
      </c>
    </row>
    <row r="220" spans="1:17" x14ac:dyDescent="0.25">
      <c r="A220" s="2" t="s">
        <v>1719</v>
      </c>
      <c r="B220" s="3">
        <v>44317</v>
      </c>
      <c r="C220" s="2" t="s">
        <v>1720</v>
      </c>
      <c r="D220" t="s">
        <v>6155</v>
      </c>
      <c r="E220" s="2">
        <v>5</v>
      </c>
      <c r="F220" s="2" t="str">
        <f>_xlfn.XLOOKUP(C220,customers!$A$1:$A$1001,customers!$B$1:$B$1001,,0)</f>
        <v>Rem Furman</v>
      </c>
      <c r="G220" s="2" t="str">
        <f>IF(_xlfn.XLOOKUP(C220,customers!$A$1:$A$1001,customers!$C$1:$C$1001, ,0)=0,"",_xlfn.XLOOKUP(C220,customers!$A$1:$A$1001,customers!$C$1:$C$1001, ,0))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c r="Q220" s="5">
        <f>_xlfn.XLOOKUP(Orders[[#This Row],[Product ID]],products!$A$1:$A$49,products!$G$1:$G$49) *Orders[[#This Row],[Quantity]]</f>
        <v>5.0625</v>
      </c>
    </row>
    <row r="221" spans="1:17" x14ac:dyDescent="0.25">
      <c r="A221" s="2" t="s">
        <v>1725</v>
      </c>
      <c r="B221" s="3">
        <v>44777</v>
      </c>
      <c r="C221" s="2" t="s">
        <v>1726</v>
      </c>
      <c r="D221" t="s">
        <v>6178</v>
      </c>
      <c r="E221" s="2">
        <v>3</v>
      </c>
      <c r="F221" s="2" t="str">
        <f>_xlfn.XLOOKUP(C221,customers!$A$1:$A$1001,customers!$B$1:$B$1001,,0)</f>
        <v>Charis Crosier</v>
      </c>
      <c r="G221" s="2" t="str">
        <f>IF(_xlfn.XLOOKUP(C221,customers!$A$1:$A$1001,customers!$C$1:$C$1001, ,0)=0,"",_xlfn.XLOOKUP(C221,customers!$A$1:$A$1001,customers!$C$1:$C$1001, ,0))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c r="Q221" s="5">
        <f>_xlfn.XLOOKUP(Orders[[#This Row],[Product ID]],products!$A$1:$A$49,products!$G$1:$G$49) *Orders[[#This Row],[Quantity]]</f>
        <v>0.64529999999999987</v>
      </c>
    </row>
    <row r="222" spans="1:17" x14ac:dyDescent="0.25">
      <c r="A222" s="2" t="s">
        <v>1725</v>
      </c>
      <c r="B222" s="3">
        <v>44777</v>
      </c>
      <c r="C222" s="2" t="s">
        <v>1726</v>
      </c>
      <c r="D222" t="s">
        <v>6174</v>
      </c>
      <c r="E222" s="2">
        <v>5</v>
      </c>
      <c r="F222" s="2" t="str">
        <f>_xlfn.XLOOKUP(C222,customers!$A$1:$A$1001,customers!$B$1:$B$1001,,0)</f>
        <v>Charis Crosier</v>
      </c>
      <c r="G222" s="2" t="str">
        <f>IF(_xlfn.XLOOKUP(C222,customers!$A$1:$A$1001,customers!$C$1:$C$1001, ,0)=0,"",_xlfn.XLOOKUP(C222,customers!$A$1:$A$1001,customers!$C$1:$C$1001, ,0))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c r="Q222" s="5">
        <f>_xlfn.XLOOKUP(Orders[[#This Row],[Product ID]],products!$A$1:$A$49,products!$G$1:$G$49) *Orders[[#This Row],[Quantity]]</f>
        <v>0.89549999999999996</v>
      </c>
    </row>
    <row r="223" spans="1:17" x14ac:dyDescent="0.25">
      <c r="A223" s="2" t="s">
        <v>1736</v>
      </c>
      <c r="B223" s="3">
        <v>44513</v>
      </c>
      <c r="C223" s="2" t="s">
        <v>1737</v>
      </c>
      <c r="D223" t="s">
        <v>6140</v>
      </c>
      <c r="E223" s="2">
        <v>6</v>
      </c>
      <c r="F223" s="2" t="str">
        <f>_xlfn.XLOOKUP(C223,customers!$A$1:$A$1001,customers!$B$1:$B$1001,,0)</f>
        <v>Lenka Rushmer</v>
      </c>
      <c r="G223" s="2" t="str">
        <f>IF(_xlfn.XLOOKUP(C223,customers!$A$1:$A$1001,customers!$C$1:$C$1001, ,0)=0,"",_xlfn.XLOOKUP(C223,customers!$A$1:$A$1001,customers!$C$1:$C$1001, ,0))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c r="Q223" s="5">
        <f>_xlfn.XLOOKUP(Orders[[#This Row],[Product ID]],products!$A$1:$A$49,products!$G$1:$G$49) *Orders[[#This Row],[Quantity]]</f>
        <v>6.9930000000000003</v>
      </c>
    </row>
    <row r="224" spans="1:17"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 ,0)=0,"",_xlfn.XLOOKUP(C224,customers!$A$1:$A$1001,customers!$C$1:$C$1001, ,0))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c r="Q224" s="5">
        <f>_xlfn.XLOOKUP(Orders[[#This Row],[Product ID]],products!$A$1:$A$49,products!$G$1:$G$49) *Orders[[#This Row],[Quantity]]</f>
        <v>3.0303</v>
      </c>
    </row>
    <row r="225" spans="1:17" x14ac:dyDescent="0.25">
      <c r="A225" s="2" t="s">
        <v>1748</v>
      </c>
      <c r="B225" s="3">
        <v>44109</v>
      </c>
      <c r="C225" s="2" t="s">
        <v>1749</v>
      </c>
      <c r="D225" t="s">
        <v>6171</v>
      </c>
      <c r="E225" s="2">
        <v>4</v>
      </c>
      <c r="F225" s="2" t="str">
        <f>_xlfn.XLOOKUP(C225,customers!$A$1:$A$1001,customers!$B$1:$B$1001,,0)</f>
        <v>Bobbe Piggott</v>
      </c>
      <c r="G225" s="2" t="str">
        <f>IF(_xlfn.XLOOKUP(C225,customers!$A$1:$A$1001,customers!$C$1:$C$1001, ,0)=0,"",_xlfn.XLOOKUP(C225,customers!$A$1:$A$1001,customers!$C$1:$C$1001, ,0))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c r="Q225" s="5">
        <f>_xlfn.XLOOKUP(Orders[[#This Row],[Product ID]],products!$A$1:$A$49,products!$G$1:$G$49) *Orders[[#This Row],[Quantity]]</f>
        <v>6.5339999999999998</v>
      </c>
    </row>
    <row r="226" spans="1:17" x14ac:dyDescent="0.25">
      <c r="A226" s="2" t="s">
        <v>1753</v>
      </c>
      <c r="B226" s="3">
        <v>43836</v>
      </c>
      <c r="C226" s="2" t="s">
        <v>1754</v>
      </c>
      <c r="D226" t="s">
        <v>6165</v>
      </c>
      <c r="E226" s="2">
        <v>4</v>
      </c>
      <c r="F226" s="2" t="str">
        <f>_xlfn.XLOOKUP(C226,customers!$A$1:$A$1001,customers!$B$1:$B$1001,,0)</f>
        <v>Ketty Bromehead</v>
      </c>
      <c r="G226" s="2" t="str">
        <f>IF(_xlfn.XLOOKUP(C226,customers!$A$1:$A$1001,customers!$C$1:$C$1001, ,0)=0,"",_xlfn.XLOOKUP(C226,customers!$A$1:$A$1001,customers!$C$1:$C$1001, ,0))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c r="Q226" s="5">
        <f>_xlfn.XLOOKUP(Orders[[#This Row],[Product ID]],products!$A$1:$A$49,products!$G$1:$G$49) *Orders[[#This Row],[Quantity]]</f>
        <v>15.488199999999999</v>
      </c>
    </row>
    <row r="227" spans="1:17"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 ,0)=0,"",_xlfn.XLOOKUP(C227,customers!$A$1:$A$1001,customers!$C$1:$C$1001, ,0))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c r="Q227" s="5">
        <f>_xlfn.XLOOKUP(Orders[[#This Row],[Product ID]],products!$A$1:$A$49,products!$G$1:$G$49) *Orders[[#This Row],[Quantity]]</f>
        <v>0.86039999999999983</v>
      </c>
    </row>
    <row r="228" spans="1:17"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 ,0)=0,"",_xlfn.XLOOKUP(C228,customers!$A$1:$A$1001,customers!$C$1:$C$1001, ,0))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c r="Q228" s="5">
        <f>_xlfn.XLOOKUP(Orders[[#This Row],[Product ID]],products!$A$1:$A$49,products!$G$1:$G$49) *Orders[[#This Row],[Quantity]]</f>
        <v>11.643749999999997</v>
      </c>
    </row>
    <row r="229" spans="1:17" x14ac:dyDescent="0.25">
      <c r="A229" s="2" t="s">
        <v>1771</v>
      </c>
      <c r="B229" s="3">
        <v>43880</v>
      </c>
      <c r="C229" s="2" t="s">
        <v>1772</v>
      </c>
      <c r="D229" t="s">
        <v>6163</v>
      </c>
      <c r="E229" s="2">
        <v>6</v>
      </c>
      <c r="F229" s="2" t="str">
        <f>_xlfn.XLOOKUP(C229,customers!$A$1:$A$1001,customers!$B$1:$B$1001,,0)</f>
        <v>Noak Wyvill</v>
      </c>
      <c r="G229" s="2" t="str">
        <f>IF(_xlfn.XLOOKUP(C229,customers!$A$1:$A$1001,customers!$C$1:$C$1001, ,0)=0,"",_xlfn.XLOOKUP(C229,customers!$A$1:$A$1001,customers!$C$1:$C$1001, ,0))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c r="Q229" s="5">
        <f>_xlfn.XLOOKUP(Orders[[#This Row],[Product ID]],products!$A$1:$A$49,products!$G$1:$G$49) *Orders[[#This Row],[Quantity]]</f>
        <v>0.96659999999999979</v>
      </c>
    </row>
    <row r="230" spans="1:17" x14ac:dyDescent="0.25">
      <c r="A230" s="2" t="s">
        <v>1777</v>
      </c>
      <c r="B230" s="3">
        <v>44376</v>
      </c>
      <c r="C230" s="2" t="s">
        <v>1778</v>
      </c>
      <c r="D230" t="s">
        <v>6178</v>
      </c>
      <c r="E230" s="2">
        <v>5</v>
      </c>
      <c r="F230" s="2" t="str">
        <f>_xlfn.XLOOKUP(C230,customers!$A$1:$A$1001,customers!$B$1:$B$1001,,0)</f>
        <v>Beltran Mathon</v>
      </c>
      <c r="G230" s="2" t="str">
        <f>IF(_xlfn.XLOOKUP(C230,customers!$A$1:$A$1001,customers!$C$1:$C$1001, ,0)=0,"",_xlfn.XLOOKUP(C230,customers!$A$1:$A$1001,customers!$C$1:$C$1001, ,0))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c r="Q230" s="5">
        <f>_xlfn.XLOOKUP(Orders[[#This Row],[Product ID]],products!$A$1:$A$49,products!$G$1:$G$49) *Orders[[#This Row],[Quantity]]</f>
        <v>1.0754999999999999</v>
      </c>
    </row>
    <row r="231" spans="1:17" x14ac:dyDescent="0.25">
      <c r="A231" s="2" t="s">
        <v>1783</v>
      </c>
      <c r="B231" s="3">
        <v>44282</v>
      </c>
      <c r="C231" s="2" t="s">
        <v>1784</v>
      </c>
      <c r="D231" t="s">
        <v>6159</v>
      </c>
      <c r="E231" s="2">
        <v>2</v>
      </c>
      <c r="F231" s="2" t="str">
        <f>_xlfn.XLOOKUP(C231,customers!$A$1:$A$1001,customers!$B$1:$B$1001,,0)</f>
        <v>Kristos Streight</v>
      </c>
      <c r="G231" s="2" t="str">
        <f>IF(_xlfn.XLOOKUP(C231,customers!$A$1:$A$1001,customers!$C$1:$C$1001, ,0)=0,"",_xlfn.XLOOKUP(C231,customers!$A$1:$A$1001,customers!$C$1:$C$1001, ,0))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c r="Q231" s="5">
        <f>_xlfn.XLOOKUP(Orders[[#This Row],[Product ID]],products!$A$1:$A$49,products!$G$1:$G$49) *Orders[[#This Row],[Quantity]]</f>
        <v>1.1349</v>
      </c>
    </row>
    <row r="232" spans="1:17" x14ac:dyDescent="0.25">
      <c r="A232" s="2" t="s">
        <v>1789</v>
      </c>
      <c r="B232" s="3">
        <v>44496</v>
      </c>
      <c r="C232" s="2" t="s">
        <v>1790</v>
      </c>
      <c r="D232" t="s">
        <v>6175</v>
      </c>
      <c r="E232" s="2">
        <v>2</v>
      </c>
      <c r="F232" s="2" t="str">
        <f>_xlfn.XLOOKUP(C232,customers!$A$1:$A$1001,customers!$B$1:$B$1001,,0)</f>
        <v>Portie Cutchie</v>
      </c>
      <c r="G232" s="2" t="str">
        <f>IF(_xlfn.XLOOKUP(C232,customers!$A$1:$A$1001,customers!$C$1:$C$1001, ,0)=0,"",_xlfn.XLOOKUP(C232,customers!$A$1:$A$1001,customers!$C$1:$C$1001, ,0))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c r="Q232" s="5">
        <f>_xlfn.XLOOKUP(Orders[[#This Row],[Product ID]],products!$A$1:$A$49,products!$G$1:$G$49) *Orders[[#This Row],[Quantity]]</f>
        <v>4.6574999999999989</v>
      </c>
    </row>
    <row r="233" spans="1:17" x14ac:dyDescent="0.25">
      <c r="A233" s="2" t="s">
        <v>1795</v>
      </c>
      <c r="B233" s="3">
        <v>43628</v>
      </c>
      <c r="C233" s="2" t="s">
        <v>1796</v>
      </c>
      <c r="D233" t="s">
        <v>6159</v>
      </c>
      <c r="E233" s="2">
        <v>2</v>
      </c>
      <c r="F233" s="2" t="str">
        <f>_xlfn.XLOOKUP(C233,customers!$A$1:$A$1001,customers!$B$1:$B$1001,,0)</f>
        <v>Sinclare Edsell</v>
      </c>
      <c r="G233" s="2" t="str">
        <f>IF(_xlfn.XLOOKUP(C233,customers!$A$1:$A$1001,customers!$C$1:$C$1001, ,0)=0,"",_xlfn.XLOOKUP(C233,customers!$A$1:$A$1001,customers!$C$1:$C$1001, ,0))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c r="Q233" s="5">
        <f>_xlfn.XLOOKUP(Orders[[#This Row],[Product ID]],products!$A$1:$A$49,products!$G$1:$G$49) *Orders[[#This Row],[Quantity]]</f>
        <v>1.1349</v>
      </c>
    </row>
    <row r="234" spans="1:17" x14ac:dyDescent="0.25">
      <c r="A234" s="2" t="s">
        <v>1800</v>
      </c>
      <c r="B234" s="3">
        <v>44010</v>
      </c>
      <c r="C234" s="2" t="s">
        <v>1801</v>
      </c>
      <c r="D234" t="s">
        <v>6145</v>
      </c>
      <c r="E234" s="2">
        <v>5</v>
      </c>
      <c r="F234" s="2" t="str">
        <f>_xlfn.XLOOKUP(C234,customers!$A$1:$A$1001,customers!$B$1:$B$1001,,0)</f>
        <v>Conny Gheraldi</v>
      </c>
      <c r="G234" s="2" t="str">
        <f>IF(_xlfn.XLOOKUP(C234,customers!$A$1:$A$1001,customers!$C$1:$C$1001, ,0)=0,"",_xlfn.XLOOKUP(C234,customers!$A$1:$A$1001,customers!$C$1:$C$1001, ,0))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c r="Q234" s="5">
        <f>_xlfn.XLOOKUP(Orders[[#This Row],[Product ID]],products!$A$1:$A$49,products!$G$1:$G$49) *Orders[[#This Row],[Quantity]]</f>
        <v>3.0907499999999999</v>
      </c>
    </row>
    <row r="235" spans="1:17" x14ac:dyDescent="0.25">
      <c r="A235" s="2" t="s">
        <v>1806</v>
      </c>
      <c r="B235" s="3">
        <v>44278</v>
      </c>
      <c r="C235" s="2" t="s">
        <v>1807</v>
      </c>
      <c r="D235" t="s">
        <v>6156</v>
      </c>
      <c r="E235" s="2">
        <v>5</v>
      </c>
      <c r="F235" s="2" t="str">
        <f>_xlfn.XLOOKUP(C235,customers!$A$1:$A$1001,customers!$B$1:$B$1001,,0)</f>
        <v>Beryle Kenwell</v>
      </c>
      <c r="G235" s="2" t="str">
        <f>IF(_xlfn.XLOOKUP(C235,customers!$A$1:$A$1001,customers!$C$1:$C$1001, ,0)=0,"",_xlfn.XLOOKUP(C235,customers!$A$1:$A$1001,customers!$C$1:$C$1001, ,0))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c r="Q235" s="5">
        <f>_xlfn.XLOOKUP(Orders[[#This Row],[Product ID]],products!$A$1:$A$49,products!$G$1:$G$49) *Orders[[#This Row],[Quantity]]</f>
        <v>2.2687499999999998</v>
      </c>
    </row>
    <row r="236" spans="1:17" x14ac:dyDescent="0.25">
      <c r="A236" s="2" t="s">
        <v>1812</v>
      </c>
      <c r="B236" s="3">
        <v>44602</v>
      </c>
      <c r="C236" s="2" t="s">
        <v>1813</v>
      </c>
      <c r="D236" t="s">
        <v>6164</v>
      </c>
      <c r="E236" s="2">
        <v>1</v>
      </c>
      <c r="F236" s="2" t="str">
        <f>_xlfn.XLOOKUP(C236,customers!$A$1:$A$1001,customers!$B$1:$B$1001,,0)</f>
        <v>Tomas Sutty</v>
      </c>
      <c r="G236" s="2" t="str">
        <f>IF(_xlfn.XLOOKUP(C236,customers!$A$1:$A$1001,customers!$C$1:$C$1001, ,0)=0,"",_xlfn.XLOOKUP(C236,customers!$A$1:$A$1001,customers!$C$1:$C$1001, ,0))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c r="Q236" s="5">
        <f>_xlfn.XLOOKUP(Orders[[#This Row],[Product ID]],products!$A$1:$A$49,products!$G$1:$G$49) *Orders[[#This Row],[Quantity]]</f>
        <v>4.7391499999999995</v>
      </c>
    </row>
    <row r="237" spans="1:17" x14ac:dyDescent="0.25">
      <c r="A237" s="2" t="s">
        <v>1818</v>
      </c>
      <c r="B237" s="3">
        <v>43571</v>
      </c>
      <c r="C237" s="2" t="s">
        <v>1819</v>
      </c>
      <c r="D237" t="s">
        <v>6164</v>
      </c>
      <c r="E237" s="2">
        <v>5</v>
      </c>
      <c r="F237" s="2" t="str">
        <f>_xlfn.XLOOKUP(C237,customers!$A$1:$A$1001,customers!$B$1:$B$1001,,0)</f>
        <v>Samuele Ales0</v>
      </c>
      <c r="G237" s="2" t="str">
        <f>IF(_xlfn.XLOOKUP(C237,customers!$A$1:$A$1001,customers!$C$1:$C$1001, ,0)=0,"",_xlfn.XLOOKUP(C237,customers!$A$1:$A$1001,customers!$C$1:$C$1001, ,0))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c r="Q237" s="5">
        <f>_xlfn.XLOOKUP(Orders[[#This Row],[Product ID]],products!$A$1:$A$49,products!$G$1:$G$49) *Orders[[#This Row],[Quantity]]</f>
        <v>23.695749999999997</v>
      </c>
    </row>
    <row r="238" spans="1:17" x14ac:dyDescent="0.25">
      <c r="A238" s="2" t="s">
        <v>1822</v>
      </c>
      <c r="B238" s="3">
        <v>43873</v>
      </c>
      <c r="C238" s="2" t="s">
        <v>1823</v>
      </c>
      <c r="D238" t="s">
        <v>6165</v>
      </c>
      <c r="E238" s="2">
        <v>3</v>
      </c>
      <c r="F238" s="2" t="str">
        <f>_xlfn.XLOOKUP(C238,customers!$A$1:$A$1001,customers!$B$1:$B$1001,,0)</f>
        <v>Carlie Harce</v>
      </c>
      <c r="G238" s="2" t="str">
        <f>IF(_xlfn.XLOOKUP(C238,customers!$A$1:$A$1001,customers!$C$1:$C$1001, ,0)=0,"",_xlfn.XLOOKUP(C238,customers!$A$1:$A$1001,customers!$C$1:$C$1001, ,0))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c r="Q238" s="5">
        <f>_xlfn.XLOOKUP(Orders[[#This Row],[Product ID]],products!$A$1:$A$49,products!$G$1:$G$49) *Orders[[#This Row],[Quantity]]</f>
        <v>11.616149999999999</v>
      </c>
    </row>
    <row r="239" spans="1:17" x14ac:dyDescent="0.25">
      <c r="A239" s="2" t="s">
        <v>1828</v>
      </c>
      <c r="B239" s="3">
        <v>44563</v>
      </c>
      <c r="C239" s="2" t="s">
        <v>1829</v>
      </c>
      <c r="D239" t="s">
        <v>6178</v>
      </c>
      <c r="E239" s="2">
        <v>1</v>
      </c>
      <c r="F239" s="2" t="str">
        <f>_xlfn.XLOOKUP(C239,customers!$A$1:$A$1001,customers!$B$1:$B$1001,,0)</f>
        <v>Craggy Bril</v>
      </c>
      <c r="G239" s="2" t="str">
        <f>IF(_xlfn.XLOOKUP(C239,customers!$A$1:$A$1001,customers!$C$1:$C$1001, ,0)=0,"",_xlfn.XLOOKUP(C239,customers!$A$1:$A$1001,customers!$C$1:$C$1001, ,0))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c r="Q239" s="5">
        <f>_xlfn.XLOOKUP(Orders[[#This Row],[Product ID]],products!$A$1:$A$49,products!$G$1:$G$49) *Orders[[#This Row],[Quantity]]</f>
        <v>0.21509999999999996</v>
      </c>
    </row>
    <row r="240" spans="1:17"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 ,0)=0,"",_xlfn.XLOOKUP(C240,customers!$A$1:$A$1001,customers!$C$1:$C$1001, ,0))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c r="Q240" s="5">
        <f>_xlfn.XLOOKUP(Orders[[#This Row],[Product ID]],products!$A$1:$A$49,products!$G$1:$G$49) *Orders[[#This Row],[Quantity]]</f>
        <v>2.7461999999999995</v>
      </c>
    </row>
    <row r="241" spans="1:17" x14ac:dyDescent="0.25">
      <c r="A241" s="2" t="s">
        <v>1839</v>
      </c>
      <c r="B241" s="3">
        <v>43881</v>
      </c>
      <c r="C241" s="2" t="s">
        <v>1840</v>
      </c>
      <c r="D241" t="s">
        <v>6171</v>
      </c>
      <c r="E241" s="2">
        <v>4</v>
      </c>
      <c r="F241" s="2" t="str">
        <f>_xlfn.XLOOKUP(C241,customers!$A$1:$A$1001,customers!$B$1:$B$1001,,0)</f>
        <v>Devon Magowan</v>
      </c>
      <c r="G241" s="2" t="str">
        <f>IF(_xlfn.XLOOKUP(C241,customers!$A$1:$A$1001,customers!$C$1:$C$1001, ,0)=0,"",_xlfn.XLOOKUP(C241,customers!$A$1:$A$1001,customers!$C$1:$C$1001, ,0))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c r="Q241" s="5">
        <f>_xlfn.XLOOKUP(Orders[[#This Row],[Product ID]],products!$A$1:$A$49,products!$G$1:$G$49) *Orders[[#This Row],[Quantity]]</f>
        <v>6.5339999999999998</v>
      </c>
    </row>
    <row r="242" spans="1:17" x14ac:dyDescent="0.25">
      <c r="A242" s="2" t="s">
        <v>1845</v>
      </c>
      <c r="B242" s="3">
        <v>43993</v>
      </c>
      <c r="C242" s="2" t="s">
        <v>1846</v>
      </c>
      <c r="D242" t="s">
        <v>6175</v>
      </c>
      <c r="E242" s="2">
        <v>6</v>
      </c>
      <c r="F242" s="2" t="str">
        <f>_xlfn.XLOOKUP(C242,customers!$A$1:$A$1001,customers!$B$1:$B$1001,,0)</f>
        <v>Codi Littrell</v>
      </c>
      <c r="G242" s="2" t="str">
        <f>IF(_xlfn.XLOOKUP(C242,customers!$A$1:$A$1001,customers!$C$1:$C$1001, ,0)=0,"",_xlfn.XLOOKUP(C242,customers!$A$1:$A$1001,customers!$C$1:$C$1001, ,0))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c r="Q242" s="5">
        <f>_xlfn.XLOOKUP(Orders[[#This Row],[Product ID]],products!$A$1:$A$49,products!$G$1:$G$49) *Orders[[#This Row],[Quantity]]</f>
        <v>13.972499999999997</v>
      </c>
    </row>
    <row r="243" spans="1:17" x14ac:dyDescent="0.25">
      <c r="A243" s="2" t="s">
        <v>1849</v>
      </c>
      <c r="B243" s="3">
        <v>44082</v>
      </c>
      <c r="C243" s="2" t="s">
        <v>1850</v>
      </c>
      <c r="D243" t="s">
        <v>6151</v>
      </c>
      <c r="E243" s="2">
        <v>2</v>
      </c>
      <c r="F243" s="2" t="str">
        <f>_xlfn.XLOOKUP(C243,customers!$A$1:$A$1001,customers!$B$1:$B$1001,,0)</f>
        <v>Christel Speak</v>
      </c>
      <c r="G243" s="2" t="str">
        <f>IF(_xlfn.XLOOKUP(C243,customers!$A$1:$A$1001,customers!$C$1:$C$1001, ,0)=0,"",_xlfn.XLOOKUP(C243,customers!$A$1:$A$1001,customers!$C$1:$C$1001, ,0))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c r="Q243" s="5">
        <f>_xlfn.XLOOKUP(Orders[[#This Row],[Product ID]],products!$A$1:$A$49,products!$G$1:$G$49) *Orders[[#This Row],[Quantity]]</f>
        <v>2.7461999999999995</v>
      </c>
    </row>
    <row r="244" spans="1:17"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 ,0)=0,"",_xlfn.XLOOKUP(C244,customers!$A$1:$A$1001,customers!$C$1:$C$1001, ,0))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c r="Q244" s="5">
        <f>_xlfn.XLOOKUP(Orders[[#This Row],[Product ID]],products!$A$1:$A$49,products!$G$1:$G$49) *Orders[[#This Row],[Quantity]]</f>
        <v>4.0095000000000001</v>
      </c>
    </row>
    <row r="245" spans="1:17" x14ac:dyDescent="0.25">
      <c r="A245" s="2" t="s">
        <v>1860</v>
      </c>
      <c r="B245" s="3">
        <v>44114</v>
      </c>
      <c r="C245" s="2" t="s">
        <v>1861</v>
      </c>
      <c r="D245" t="s">
        <v>6144</v>
      </c>
      <c r="E245" s="2">
        <v>4</v>
      </c>
      <c r="F245" s="2" t="str">
        <f>_xlfn.XLOOKUP(C245,customers!$A$1:$A$1001,customers!$B$1:$B$1001,,0)</f>
        <v>Tammie Drynan</v>
      </c>
      <c r="G245" s="2" t="str">
        <f>IF(_xlfn.XLOOKUP(C245,customers!$A$1:$A$1001,customers!$C$1:$C$1001, ,0)=0,"",_xlfn.XLOOKUP(C245,customers!$A$1:$A$1001,customers!$C$1:$C$1001, ,0))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c r="Q245" s="5">
        <f>_xlfn.XLOOKUP(Orders[[#This Row],[Product ID]],products!$A$1:$A$49,products!$G$1:$G$49) *Orders[[#This Row],[Quantity]]</f>
        <v>3.2076000000000002</v>
      </c>
    </row>
    <row r="246" spans="1:17" x14ac:dyDescent="0.25">
      <c r="A246" s="2" t="s">
        <v>1866</v>
      </c>
      <c r="B246" s="3">
        <v>44702</v>
      </c>
      <c r="C246" s="2" t="s">
        <v>1867</v>
      </c>
      <c r="D246" t="s">
        <v>6181</v>
      </c>
      <c r="E246" s="2">
        <v>4</v>
      </c>
      <c r="F246" s="2" t="str">
        <f>_xlfn.XLOOKUP(C246,customers!$A$1:$A$1001,customers!$B$1:$B$1001,,0)</f>
        <v>Effie Yurkov</v>
      </c>
      <c r="G246" s="2" t="str">
        <f>IF(_xlfn.XLOOKUP(C246,customers!$A$1:$A$1001,customers!$C$1:$C$1001, ,0)=0,"",_xlfn.XLOOKUP(C246,customers!$A$1:$A$1001,customers!$C$1:$C$1001, ,0))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c r="Q246" s="5">
        <f>_xlfn.XLOOKUP(Orders[[#This Row],[Product ID]],products!$A$1:$A$49,products!$G$1:$G$49) *Orders[[#This Row],[Quantity]]</f>
        <v>17.401799999999998</v>
      </c>
    </row>
    <row r="247" spans="1:17" x14ac:dyDescent="0.25">
      <c r="A247" s="2" t="s">
        <v>1872</v>
      </c>
      <c r="B247" s="3">
        <v>43951</v>
      </c>
      <c r="C247" s="2" t="s">
        <v>1873</v>
      </c>
      <c r="D247" t="s">
        <v>6145</v>
      </c>
      <c r="E247" s="2">
        <v>5</v>
      </c>
      <c r="F247" s="2" t="str">
        <f>_xlfn.XLOOKUP(C247,customers!$A$1:$A$1001,customers!$B$1:$B$1001,,0)</f>
        <v>Lexie Mallan</v>
      </c>
      <c r="G247" s="2" t="str">
        <f>IF(_xlfn.XLOOKUP(C247,customers!$A$1:$A$1001,customers!$C$1:$C$1001, ,0)=0,"",_xlfn.XLOOKUP(C247,customers!$A$1:$A$1001,customers!$C$1:$C$1001, ,0))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c r="Q247" s="5">
        <f>_xlfn.XLOOKUP(Orders[[#This Row],[Product ID]],products!$A$1:$A$49,products!$G$1:$G$49) *Orders[[#This Row],[Quantity]]</f>
        <v>3.0907499999999999</v>
      </c>
    </row>
    <row r="248" spans="1:17"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 ,0)=0,"",_xlfn.XLOOKUP(C248,customers!$A$1:$A$1001,customers!$C$1:$C$1001, ,0))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c r="Q248" s="5">
        <f>_xlfn.XLOOKUP(Orders[[#This Row],[Product ID]],products!$A$1:$A$49,products!$G$1:$G$49) *Orders[[#This Row],[Quantity]]</f>
        <v>5.0504999999999995</v>
      </c>
    </row>
    <row r="249" spans="1:17" x14ac:dyDescent="0.25">
      <c r="A249" s="2" t="s">
        <v>1884</v>
      </c>
      <c r="B249" s="3">
        <v>44131</v>
      </c>
      <c r="C249" s="2" t="s">
        <v>1885</v>
      </c>
      <c r="D249" t="s">
        <v>6178</v>
      </c>
      <c r="E249" s="2">
        <v>6</v>
      </c>
      <c r="F249" s="2" t="str">
        <f>_xlfn.XLOOKUP(C249,customers!$A$1:$A$1001,customers!$B$1:$B$1001,,0)</f>
        <v>Delmar Beasant</v>
      </c>
      <c r="G249" s="2" t="str">
        <f>IF(_xlfn.XLOOKUP(C249,customers!$A$1:$A$1001,customers!$C$1:$C$1001, ,0)=0,"",_xlfn.XLOOKUP(C249,customers!$A$1:$A$1001,customers!$C$1:$C$1001, ,0))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c r="Q249" s="5">
        <f>_xlfn.XLOOKUP(Orders[[#This Row],[Product ID]],products!$A$1:$A$49,products!$G$1:$G$49) *Orders[[#This Row],[Quantity]]</f>
        <v>1.2905999999999997</v>
      </c>
    </row>
    <row r="250" spans="1:17" x14ac:dyDescent="0.25">
      <c r="A250" s="2" t="s">
        <v>1889</v>
      </c>
      <c r="B250" s="3">
        <v>44019</v>
      </c>
      <c r="C250" s="2" t="s">
        <v>1890</v>
      </c>
      <c r="D250" t="s">
        <v>6147</v>
      </c>
      <c r="E250" s="2">
        <v>1</v>
      </c>
      <c r="F250" s="2" t="str">
        <f>_xlfn.XLOOKUP(C250,customers!$A$1:$A$1001,customers!$B$1:$B$1001,,0)</f>
        <v>Lyn Entwistle</v>
      </c>
      <c r="G250" s="2" t="str">
        <f>IF(_xlfn.XLOOKUP(C250,customers!$A$1:$A$1001,customers!$C$1:$C$1001, ,0)=0,"",_xlfn.XLOOKUP(C250,customers!$A$1:$A$1001,customers!$C$1:$C$1001, ,0))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c r="Q250" s="5">
        <f>_xlfn.XLOOKUP(Orders[[#This Row],[Product ID]],products!$A$1:$A$49,products!$G$1:$G$49) *Orders[[#This Row],[Quantity]]</f>
        <v>0.89549999999999985</v>
      </c>
    </row>
    <row r="251" spans="1:17" x14ac:dyDescent="0.25">
      <c r="A251" s="2" t="s">
        <v>1895</v>
      </c>
      <c r="B251" s="3">
        <v>43861</v>
      </c>
      <c r="C251" s="2" t="s">
        <v>1935</v>
      </c>
      <c r="D251" t="s">
        <v>6170</v>
      </c>
      <c r="E251" s="2">
        <v>1</v>
      </c>
      <c r="F251" s="2" t="str">
        <f>_xlfn.XLOOKUP(C251,customers!$A$1:$A$1001,customers!$B$1:$B$1001,,0)</f>
        <v>Zacharias Kiffe</v>
      </c>
      <c r="G251" s="2" t="str">
        <f>IF(_xlfn.XLOOKUP(C251,customers!$A$1:$A$1001,customers!$C$1:$C$1001, ,0)=0,"",_xlfn.XLOOKUP(C251,customers!$A$1:$A$1001,customers!$C$1:$C$1001, ,0))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c r="Q251" s="5">
        <f>_xlfn.XLOOKUP(Orders[[#This Row],[Product ID]],products!$A$1:$A$49,products!$G$1:$G$49) *Orders[[#This Row],[Quantity]]</f>
        <v>2.0605000000000002</v>
      </c>
    </row>
    <row r="252" spans="1:17" x14ac:dyDescent="0.25">
      <c r="A252" s="2" t="s">
        <v>1900</v>
      </c>
      <c r="B252" s="3">
        <v>43879</v>
      </c>
      <c r="C252" s="2" t="s">
        <v>1901</v>
      </c>
      <c r="D252" t="s">
        <v>6174</v>
      </c>
      <c r="E252" s="2">
        <v>1</v>
      </c>
      <c r="F252" s="2" t="str">
        <f>_xlfn.XLOOKUP(C252,customers!$A$1:$A$1001,customers!$B$1:$B$1001,,0)</f>
        <v>Mercedes Acott</v>
      </c>
      <c r="G252" s="2" t="str">
        <f>IF(_xlfn.XLOOKUP(C252,customers!$A$1:$A$1001,customers!$C$1:$C$1001, ,0)=0,"",_xlfn.XLOOKUP(C252,customers!$A$1:$A$1001,customers!$C$1:$C$1001, ,0))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c r="Q252" s="5">
        <f>_xlfn.XLOOKUP(Orders[[#This Row],[Product ID]],products!$A$1:$A$49,products!$G$1:$G$49) *Orders[[#This Row],[Quantity]]</f>
        <v>0.17909999999999998</v>
      </c>
    </row>
    <row r="253" spans="1:17" x14ac:dyDescent="0.25">
      <c r="A253" s="2" t="s">
        <v>1906</v>
      </c>
      <c r="B253" s="3">
        <v>44360</v>
      </c>
      <c r="C253" s="2" t="s">
        <v>1907</v>
      </c>
      <c r="D253" t="s">
        <v>6141</v>
      </c>
      <c r="E253" s="2">
        <v>5</v>
      </c>
      <c r="F253" s="2" t="str">
        <f>_xlfn.XLOOKUP(C253,customers!$A$1:$A$1001,customers!$B$1:$B$1001,,0)</f>
        <v>Connor Heaviside</v>
      </c>
      <c r="G253" s="2" t="str">
        <f>IF(_xlfn.XLOOKUP(C253,customers!$A$1:$A$1001,customers!$C$1:$C$1001, ,0)=0,"",_xlfn.XLOOKUP(C253,customers!$A$1:$A$1001,customers!$C$1:$C$1001, ,0))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c r="Q253" s="5">
        <f>_xlfn.XLOOKUP(Orders[[#This Row],[Product ID]],products!$A$1:$A$49,products!$G$1:$G$49) *Orders[[#This Row],[Quantity]]</f>
        <v>7.5625</v>
      </c>
    </row>
    <row r="254" spans="1:17" x14ac:dyDescent="0.25">
      <c r="A254" s="2" t="s">
        <v>1912</v>
      </c>
      <c r="B254" s="3">
        <v>44779</v>
      </c>
      <c r="C254" s="2" t="s">
        <v>1913</v>
      </c>
      <c r="D254" t="s">
        <v>6147</v>
      </c>
      <c r="E254" s="2">
        <v>3</v>
      </c>
      <c r="F254" s="2" t="str">
        <f>_xlfn.XLOOKUP(C254,customers!$A$1:$A$1001,customers!$B$1:$B$1001,,0)</f>
        <v>Devy Bulbrook</v>
      </c>
      <c r="G254" s="2" t="str">
        <f>IF(_xlfn.XLOOKUP(C254,customers!$A$1:$A$1001,customers!$C$1:$C$1001, ,0)=0,"",_xlfn.XLOOKUP(C254,customers!$A$1:$A$1001,customers!$C$1:$C$1001, ,0))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c r="Q254" s="5">
        <f>_xlfn.XLOOKUP(Orders[[#This Row],[Product ID]],products!$A$1:$A$49,products!$G$1:$G$49) *Orders[[#This Row],[Quantity]]</f>
        <v>2.6864999999999997</v>
      </c>
    </row>
    <row r="255" spans="1:17" x14ac:dyDescent="0.25">
      <c r="A255" s="2" t="s">
        <v>1917</v>
      </c>
      <c r="B255" s="3">
        <v>44523</v>
      </c>
      <c r="C255" s="2" t="s">
        <v>1918</v>
      </c>
      <c r="D255" t="s">
        <v>6162</v>
      </c>
      <c r="E255" s="2">
        <v>4</v>
      </c>
      <c r="F255" s="2" t="str">
        <f>_xlfn.XLOOKUP(C255,customers!$A$1:$A$1001,customers!$B$1:$B$1001,,0)</f>
        <v>Leia Kernan</v>
      </c>
      <c r="G255" s="2" t="str">
        <f>IF(_xlfn.XLOOKUP(C255,customers!$A$1:$A$1001,customers!$C$1:$C$1001, ,0)=0,"",_xlfn.XLOOKUP(C255,customers!$A$1:$A$1001,customers!$C$1:$C$1001, ,0))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c r="Q255" s="5">
        <f>_xlfn.XLOOKUP(Orders[[#This Row],[Product ID]],products!$A$1:$A$49,products!$G$1:$G$49) *Orders[[#This Row],[Quantity]]</f>
        <v>7.5660000000000007</v>
      </c>
    </row>
    <row r="256" spans="1:17" x14ac:dyDescent="0.25">
      <c r="A256" s="2" t="s">
        <v>1923</v>
      </c>
      <c r="B256" s="3">
        <v>44482</v>
      </c>
      <c r="C256" s="2" t="s">
        <v>1924</v>
      </c>
      <c r="D256" t="s">
        <v>6173</v>
      </c>
      <c r="E256" s="2">
        <v>4</v>
      </c>
      <c r="F256" s="2" t="str">
        <f>_xlfn.XLOOKUP(C256,customers!$A$1:$A$1001,customers!$B$1:$B$1001,,0)</f>
        <v>Rosaline McLae</v>
      </c>
      <c r="G256" s="2" t="str">
        <f>IF(_xlfn.XLOOKUP(C256,customers!$A$1:$A$1001,customers!$C$1:$C$1001, ,0)=0,"",_xlfn.XLOOKUP(C256,customers!$A$1:$A$1001,customers!$C$1:$C$1001, ,0))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c r="Q256" s="5">
        <f>_xlfn.XLOOKUP(Orders[[#This Row],[Product ID]],products!$A$1:$A$49,products!$G$1:$G$49) *Orders[[#This Row],[Quantity]]</f>
        <v>1.7207999999999997</v>
      </c>
    </row>
    <row r="257" spans="1:17" x14ac:dyDescent="0.25">
      <c r="A257" s="2" t="s">
        <v>1928</v>
      </c>
      <c r="B257" s="3">
        <v>44439</v>
      </c>
      <c r="C257" s="2" t="s">
        <v>1929</v>
      </c>
      <c r="D257" t="s">
        <v>6173</v>
      </c>
      <c r="E257" s="2">
        <v>3</v>
      </c>
      <c r="F257" s="2" t="str">
        <f>_xlfn.XLOOKUP(C257,customers!$A$1:$A$1001,customers!$B$1:$B$1001,,0)</f>
        <v>Cleve Blowfelde</v>
      </c>
      <c r="G257" s="2" t="str">
        <f>IF(_xlfn.XLOOKUP(C257,customers!$A$1:$A$1001,customers!$C$1:$C$1001, ,0)=0,"",_xlfn.XLOOKUP(C257,customers!$A$1:$A$1001,customers!$C$1:$C$1001, ,0))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c r="Q257" s="5">
        <f>_xlfn.XLOOKUP(Orders[[#This Row],[Product ID]],products!$A$1:$A$49,products!$G$1:$G$49) *Orders[[#This Row],[Quantity]]</f>
        <v>1.2905999999999997</v>
      </c>
    </row>
    <row r="258" spans="1:17" x14ac:dyDescent="0.25">
      <c r="A258" s="2" t="s">
        <v>1934</v>
      </c>
      <c r="B258" s="3">
        <v>43846</v>
      </c>
      <c r="C258" s="2" t="s">
        <v>1935</v>
      </c>
      <c r="D258" t="s">
        <v>6160</v>
      </c>
      <c r="E258" s="2">
        <v>2</v>
      </c>
      <c r="F258" s="2" t="str">
        <f>_xlfn.XLOOKUP(C258,customers!$A$1:$A$1001,customers!$B$1:$B$1001,,0)</f>
        <v>Zacharias Kiffe</v>
      </c>
      <c r="G258" s="2" t="str">
        <f>IF(_xlfn.XLOOKUP(C258,customers!$A$1:$A$1001,customers!$C$1:$C$1001, ,0)=0,"",_xlfn.XLOOKUP(C258,customers!$A$1:$A$1001,customers!$C$1:$C$1001, ,0))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c r="Q258" s="5">
        <f>_xlfn.XLOOKUP(Orders[[#This Row],[Product ID]],products!$A$1:$A$49,products!$G$1:$G$49) *Orders[[#This Row],[Quantity]]</f>
        <v>2.2698</v>
      </c>
    </row>
    <row r="259" spans="1:17" x14ac:dyDescent="0.25">
      <c r="A259" s="2" t="s">
        <v>1940</v>
      </c>
      <c r="B259" s="3">
        <v>44676</v>
      </c>
      <c r="C259" s="2" t="s">
        <v>1941</v>
      </c>
      <c r="D259" t="s">
        <v>6185</v>
      </c>
      <c r="E259" s="2">
        <v>1</v>
      </c>
      <c r="F259" s="2" t="str">
        <f>_xlfn.XLOOKUP(C259,customers!$A$1:$A$1001,customers!$B$1:$B$1001,,0)</f>
        <v>Denyse O'Calleran</v>
      </c>
      <c r="G259" s="2" t="str">
        <f>IF(_xlfn.XLOOKUP(C259,customers!$A$1:$A$1001,customers!$C$1:$C$1001, ,0)=0,"",_xlfn.XLOOKUP(C259,customers!$A$1:$A$1001,customers!$C$1:$C$1001, ,0))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 = "Lib","Liberica"))))</f>
        <v>Excelsa</v>
      </c>
      <c r="O259" t="str">
        <f t="shared" ref="O259:O322" si="14">IF(J259="L","Light",IF(J259="M","Medium",IF(J259="D","Dark")))</f>
        <v>Dark</v>
      </c>
      <c r="P259" t="str">
        <f>_xlfn.XLOOKUP(Orders[[#This Row],[Customer ID]],customers!$A$1:$A$1001,customers!$I$1:$I$1001,,0)</f>
        <v>Yes</v>
      </c>
      <c r="Q259" s="5">
        <f>_xlfn.XLOOKUP(Orders[[#This Row],[Product ID]],products!$A$1:$A$49,products!$G$1:$G$49) *Orders[[#This Row],[Quantity]]</f>
        <v>3.07395</v>
      </c>
    </row>
    <row r="260" spans="1:17" x14ac:dyDescent="0.25">
      <c r="A260" s="2" t="s">
        <v>1946</v>
      </c>
      <c r="B260" s="3">
        <v>44513</v>
      </c>
      <c r="C260" s="2" t="s">
        <v>1947</v>
      </c>
      <c r="D260" t="s">
        <v>6185</v>
      </c>
      <c r="E260" s="2">
        <v>5</v>
      </c>
      <c r="F260" s="2" t="str">
        <f>_xlfn.XLOOKUP(C260,customers!$A$1:$A$1001,customers!$B$1:$B$1001,,0)</f>
        <v>Cobby Cromwell</v>
      </c>
      <c r="G260" s="2" t="str">
        <f>IF(_xlfn.XLOOKUP(C260,customers!$A$1:$A$1001,customers!$C$1:$C$1001, ,0)=0,"",_xlfn.XLOOKUP(C260,customers!$A$1:$A$1001,customers!$C$1:$C$1001, ,0))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c r="Q260" s="5">
        <f>_xlfn.XLOOKUP(Orders[[#This Row],[Product ID]],products!$A$1:$A$49,products!$G$1:$G$49) *Orders[[#This Row],[Quantity]]</f>
        <v>15.36975</v>
      </c>
    </row>
    <row r="261" spans="1:17" x14ac:dyDescent="0.25">
      <c r="A261" s="2" t="s">
        <v>1952</v>
      </c>
      <c r="B261" s="3">
        <v>44355</v>
      </c>
      <c r="C261" s="2" t="s">
        <v>1953</v>
      </c>
      <c r="D261" t="s">
        <v>6174</v>
      </c>
      <c r="E261" s="2">
        <v>2</v>
      </c>
      <c r="F261" s="2" t="str">
        <f>_xlfn.XLOOKUP(C261,customers!$A$1:$A$1001,customers!$B$1:$B$1001,,0)</f>
        <v>Irv Hay</v>
      </c>
      <c r="G261" s="2" t="str">
        <f>IF(_xlfn.XLOOKUP(C261,customers!$A$1:$A$1001,customers!$C$1:$C$1001, ,0)=0,"",_xlfn.XLOOKUP(C261,customers!$A$1:$A$1001,customers!$C$1:$C$1001, ,0))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c r="Q261" s="5">
        <f>_xlfn.XLOOKUP(Orders[[#This Row],[Product ID]],products!$A$1:$A$49,products!$G$1:$G$49) *Orders[[#This Row],[Quantity]]</f>
        <v>0.35819999999999996</v>
      </c>
    </row>
    <row r="262" spans="1:17" x14ac:dyDescent="0.25">
      <c r="A262" s="2" t="s">
        <v>1958</v>
      </c>
      <c r="B262" s="3">
        <v>44156</v>
      </c>
      <c r="C262" s="2" t="s">
        <v>1959</v>
      </c>
      <c r="D262" t="s">
        <v>6142</v>
      </c>
      <c r="E262" s="2">
        <v>1</v>
      </c>
      <c r="F262" s="2" t="str">
        <f>_xlfn.XLOOKUP(C262,customers!$A$1:$A$1001,customers!$B$1:$B$1001,,0)</f>
        <v>Tani Taffarello</v>
      </c>
      <c r="G262" s="2" t="str">
        <f>IF(_xlfn.XLOOKUP(C262,customers!$A$1:$A$1001,customers!$C$1:$C$1001, ,0)=0,"",_xlfn.XLOOKUP(C262,customers!$A$1:$A$1001,customers!$C$1:$C$1001, ,0))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c r="Q262" s="5">
        <f>_xlfn.XLOOKUP(Orders[[#This Row],[Product ID]],products!$A$1:$A$49,products!$G$1:$G$49) *Orders[[#This Row],[Quantity]]</f>
        <v>1.6490999999999998</v>
      </c>
    </row>
    <row r="263" spans="1:17" x14ac:dyDescent="0.25">
      <c r="A263" s="2" t="s">
        <v>1963</v>
      </c>
      <c r="B263" s="3">
        <v>43538</v>
      </c>
      <c r="C263" s="2" t="s">
        <v>1964</v>
      </c>
      <c r="D263" t="s">
        <v>6179</v>
      </c>
      <c r="E263" s="2">
        <v>5</v>
      </c>
      <c r="F263" s="2" t="str">
        <f>_xlfn.XLOOKUP(C263,customers!$A$1:$A$1001,customers!$B$1:$B$1001,,0)</f>
        <v>Monique Canty</v>
      </c>
      <c r="G263" s="2" t="str">
        <f>IF(_xlfn.XLOOKUP(C263,customers!$A$1:$A$1001,customers!$C$1:$C$1001, ,0)=0,"",_xlfn.XLOOKUP(C263,customers!$A$1:$A$1001,customers!$C$1:$C$1001, ,0))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c r="Q263" s="5">
        <f>_xlfn.XLOOKUP(Orders[[#This Row],[Product ID]],products!$A$1:$A$49,products!$G$1:$G$49) *Orders[[#This Row],[Quantity]]</f>
        <v>3.585</v>
      </c>
    </row>
    <row r="264" spans="1:17" x14ac:dyDescent="0.25">
      <c r="A264" s="2" t="s">
        <v>1969</v>
      </c>
      <c r="B264" s="3">
        <v>43693</v>
      </c>
      <c r="C264" s="2" t="s">
        <v>1970</v>
      </c>
      <c r="D264" t="s">
        <v>6141</v>
      </c>
      <c r="E264" s="2">
        <v>3</v>
      </c>
      <c r="F264" s="2" t="str">
        <f>_xlfn.XLOOKUP(C264,customers!$A$1:$A$1001,customers!$B$1:$B$1001,,0)</f>
        <v>Javier Kopke</v>
      </c>
      <c r="G264" s="2" t="str">
        <f>IF(_xlfn.XLOOKUP(C264,customers!$A$1:$A$1001,customers!$C$1:$C$1001, ,0)=0,"",_xlfn.XLOOKUP(C264,customers!$A$1:$A$1001,customers!$C$1:$C$1001, ,0))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c r="Q264" s="5">
        <f>_xlfn.XLOOKUP(Orders[[#This Row],[Product ID]],products!$A$1:$A$49,products!$G$1:$G$49) *Orders[[#This Row],[Quantity]]</f>
        <v>4.5374999999999996</v>
      </c>
    </row>
    <row r="265" spans="1:17" x14ac:dyDescent="0.25">
      <c r="A265" s="2" t="s">
        <v>1975</v>
      </c>
      <c r="B265" s="3">
        <v>43577</v>
      </c>
      <c r="C265" s="2" t="s">
        <v>1976</v>
      </c>
      <c r="D265" t="s">
        <v>6181</v>
      </c>
      <c r="E265" s="2">
        <v>4</v>
      </c>
      <c r="F265" s="2" t="str">
        <f>_xlfn.XLOOKUP(C265,customers!$A$1:$A$1001,customers!$B$1:$B$1001,,0)</f>
        <v>Mar McIver</v>
      </c>
      <c r="G265" s="2" t="str">
        <f>IF(_xlfn.XLOOKUP(C265,customers!$A$1:$A$1001,customers!$C$1:$C$1001, ,0)=0,"",_xlfn.XLOOKUP(C265,customers!$A$1:$A$1001,customers!$C$1:$C$1001, ,0))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c r="Q265" s="5">
        <f>_xlfn.XLOOKUP(Orders[[#This Row],[Product ID]],products!$A$1:$A$49,products!$G$1:$G$49) *Orders[[#This Row],[Quantity]]</f>
        <v>17.401799999999998</v>
      </c>
    </row>
    <row r="266" spans="1:17"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 ,0)=0,"",_xlfn.XLOOKUP(C266,customers!$A$1:$A$1001,customers!$C$1:$C$1001, ,0))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c r="Q266" s="5">
        <f>_xlfn.XLOOKUP(Orders[[#This Row],[Product ID]],products!$A$1:$A$49,products!$G$1:$G$49) *Orders[[#This Row],[Quantity]]</f>
        <v>3.585</v>
      </c>
    </row>
    <row r="267" spans="1:17"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 ,0)=0,"",_xlfn.XLOOKUP(C267,customers!$A$1:$A$1001,customers!$C$1:$C$1001, ,0))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c r="Q267" s="5">
        <f>_xlfn.XLOOKUP(Orders[[#This Row],[Product ID]],products!$A$1:$A$49,products!$G$1:$G$49) *Orders[[#This Row],[Quantity]]</f>
        <v>0.5373</v>
      </c>
    </row>
    <row r="268" spans="1:17" x14ac:dyDescent="0.25">
      <c r="A268" s="2" t="s">
        <v>1992</v>
      </c>
      <c r="B268" s="3">
        <v>44283</v>
      </c>
      <c r="C268" s="2" t="s">
        <v>1993</v>
      </c>
      <c r="D268" t="s">
        <v>6183</v>
      </c>
      <c r="E268" s="2">
        <v>2</v>
      </c>
      <c r="F268" s="2" t="str">
        <f>_xlfn.XLOOKUP(C268,customers!$A$1:$A$1001,customers!$B$1:$B$1001,,0)</f>
        <v>Myles Seawright</v>
      </c>
      <c r="G268" s="2" t="str">
        <f>IF(_xlfn.XLOOKUP(C268,customers!$A$1:$A$1001,customers!$C$1:$C$1001, ,0)=0,"",_xlfn.XLOOKUP(C268,customers!$A$1:$A$1001,customers!$C$1:$C$1001, ,0))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c r="Q268" s="5">
        <f>_xlfn.XLOOKUP(Orders[[#This Row],[Product ID]],products!$A$1:$A$49,products!$G$1:$G$49) *Orders[[#This Row],[Quantity]]</f>
        <v>2.673</v>
      </c>
    </row>
    <row r="269" spans="1:17"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 ,0)=0,"",_xlfn.XLOOKUP(C269,customers!$A$1:$A$1001,customers!$C$1:$C$1001, ,0))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c r="Q269" s="5">
        <f>_xlfn.XLOOKUP(Orders[[#This Row],[Product ID]],products!$A$1:$A$49,products!$G$1:$G$49) *Orders[[#This Row],[Quantity]]</f>
        <v>2.4057000000000004</v>
      </c>
    </row>
    <row r="270" spans="1:17" x14ac:dyDescent="0.25">
      <c r="A270" s="2" t="s">
        <v>2004</v>
      </c>
      <c r="B270" s="3">
        <v>43790</v>
      </c>
      <c r="C270" s="2" t="s">
        <v>1672</v>
      </c>
      <c r="D270" t="s">
        <v>6147</v>
      </c>
      <c r="E270" s="2">
        <v>2</v>
      </c>
      <c r="F270" s="2" t="str">
        <f>_xlfn.XLOOKUP(C270,customers!$A$1:$A$1001,customers!$B$1:$B$1001,,0)</f>
        <v>Anselma Attwater</v>
      </c>
      <c r="G270" s="2" t="str">
        <f>IF(_xlfn.XLOOKUP(C270,customers!$A$1:$A$1001,customers!$C$1:$C$1001, ,0)=0,"",_xlfn.XLOOKUP(C270,customers!$A$1:$A$1001,customers!$C$1:$C$1001, ,0))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c r="Q270" s="5">
        <f>_xlfn.XLOOKUP(Orders[[#This Row],[Product ID]],products!$A$1:$A$49,products!$G$1:$G$49) *Orders[[#This Row],[Quantity]]</f>
        <v>1.7909999999999997</v>
      </c>
    </row>
    <row r="271" spans="1:17" x14ac:dyDescent="0.25">
      <c r="A271" s="2" t="s">
        <v>2009</v>
      </c>
      <c r="B271" s="3">
        <v>44333</v>
      </c>
      <c r="C271" s="2" t="s">
        <v>2010</v>
      </c>
      <c r="D271" t="s">
        <v>6154</v>
      </c>
      <c r="E271" s="2">
        <v>2</v>
      </c>
      <c r="F271" s="2" t="str">
        <f>_xlfn.XLOOKUP(C271,customers!$A$1:$A$1001,customers!$B$1:$B$1001,,0)</f>
        <v>Monica Fearon</v>
      </c>
      <c r="G271" s="2" t="str">
        <f>IF(_xlfn.XLOOKUP(C271,customers!$A$1:$A$1001,customers!$C$1:$C$1001, ,0)=0,"",_xlfn.XLOOKUP(C271,customers!$A$1:$A$1001,customers!$C$1:$C$1001, ,0))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c r="Q271" s="5">
        <f>_xlfn.XLOOKUP(Orders[[#This Row],[Product ID]],products!$A$1:$A$49,products!$G$1:$G$49) *Orders[[#This Row],[Quantity]]</f>
        <v>0.5373</v>
      </c>
    </row>
    <row r="272" spans="1:17" x14ac:dyDescent="0.25">
      <c r="A272" s="2" t="s">
        <v>2015</v>
      </c>
      <c r="B272" s="3">
        <v>43655</v>
      </c>
      <c r="C272" s="2" t="s">
        <v>2016</v>
      </c>
      <c r="D272" t="s">
        <v>6144</v>
      </c>
      <c r="E272" s="2">
        <v>1</v>
      </c>
      <c r="F272" s="2" t="str">
        <f>_xlfn.XLOOKUP(C272,customers!$A$1:$A$1001,customers!$B$1:$B$1001,,0)</f>
        <v>Barney Chisnell</v>
      </c>
      <c r="G272" s="2" t="str">
        <f>IF(_xlfn.XLOOKUP(C272,customers!$A$1:$A$1001,customers!$C$1:$C$1001, ,0)=0,"",_xlfn.XLOOKUP(C272,customers!$A$1:$A$1001,customers!$C$1:$C$1001, ,0))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c r="Q272" s="5">
        <f>_xlfn.XLOOKUP(Orders[[#This Row],[Product ID]],products!$A$1:$A$49,products!$G$1:$G$49) *Orders[[#This Row],[Quantity]]</f>
        <v>0.80190000000000006</v>
      </c>
    </row>
    <row r="273" spans="1:17" x14ac:dyDescent="0.25">
      <c r="A273" s="2" t="s">
        <v>2019</v>
      </c>
      <c r="B273" s="3">
        <v>43971</v>
      </c>
      <c r="C273" s="2" t="s">
        <v>2020</v>
      </c>
      <c r="D273" t="s">
        <v>6154</v>
      </c>
      <c r="E273" s="2">
        <v>4</v>
      </c>
      <c r="F273" s="2" t="str">
        <f>_xlfn.XLOOKUP(C273,customers!$A$1:$A$1001,customers!$B$1:$B$1001,,0)</f>
        <v>Jasper Sisneros</v>
      </c>
      <c r="G273" s="2" t="str">
        <f>IF(_xlfn.XLOOKUP(C273,customers!$A$1:$A$1001,customers!$C$1:$C$1001, ,0)=0,"",_xlfn.XLOOKUP(C273,customers!$A$1:$A$1001,customers!$C$1:$C$1001, ,0))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c r="Q273" s="5">
        <f>_xlfn.XLOOKUP(Orders[[#This Row],[Product ID]],products!$A$1:$A$49,products!$G$1:$G$49) *Orders[[#This Row],[Quantity]]</f>
        <v>1.0746</v>
      </c>
    </row>
    <row r="274" spans="1:17"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 ,0)=0,"",_xlfn.XLOOKUP(C274,customers!$A$1:$A$1001,customers!$C$1:$C$1001, ,0))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c r="Q274" s="5">
        <f>_xlfn.XLOOKUP(Orders[[#This Row],[Product ID]],products!$A$1:$A$49,products!$G$1:$G$49) *Orders[[#This Row],[Quantity]]</f>
        <v>4.3019999999999996</v>
      </c>
    </row>
    <row r="275" spans="1:17" x14ac:dyDescent="0.25">
      <c r="A275" s="2" t="s">
        <v>2032</v>
      </c>
      <c r="B275" s="3">
        <v>44681</v>
      </c>
      <c r="C275" s="2" t="s">
        <v>2033</v>
      </c>
      <c r="D275" t="s">
        <v>6167</v>
      </c>
      <c r="E275" s="2">
        <v>2</v>
      </c>
      <c r="F275" s="2" t="str">
        <f>_xlfn.XLOOKUP(C275,customers!$A$1:$A$1001,customers!$B$1:$B$1001,,0)</f>
        <v>Warner Maddox</v>
      </c>
      <c r="G275" s="2" t="str">
        <f>IF(_xlfn.XLOOKUP(C275,customers!$A$1:$A$1001,customers!$C$1:$C$1001, ,0)=0,"",_xlfn.XLOOKUP(C275,customers!$A$1:$A$1001,customers!$C$1:$C$1001, ,0))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c r="Q275" s="5">
        <f>_xlfn.XLOOKUP(Orders[[#This Row],[Product ID]],products!$A$1:$A$49,products!$G$1:$G$49) *Orders[[#This Row],[Quantity]]</f>
        <v>0.69929999999999992</v>
      </c>
    </row>
    <row r="276" spans="1:17"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 ,0)=0,"",_xlfn.XLOOKUP(C276,customers!$A$1:$A$1001,customers!$C$1:$C$1001, ,0))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c r="Q276" s="5">
        <f>_xlfn.XLOOKUP(Orders[[#This Row],[Product ID]],products!$A$1:$A$49,products!$G$1:$G$49) *Orders[[#This Row],[Quantity]]</f>
        <v>2.3287499999999994</v>
      </c>
    </row>
    <row r="277" spans="1:17" x14ac:dyDescent="0.25">
      <c r="A277" s="2" t="s">
        <v>2044</v>
      </c>
      <c r="B277" s="3">
        <v>44725</v>
      </c>
      <c r="C277" s="2" t="s">
        <v>2045</v>
      </c>
      <c r="D277" t="s">
        <v>6148</v>
      </c>
      <c r="E277" s="2">
        <v>6</v>
      </c>
      <c r="F277" s="2" t="str">
        <f>_xlfn.XLOOKUP(C277,customers!$A$1:$A$1001,customers!$B$1:$B$1001,,0)</f>
        <v>Teddi Crowthe</v>
      </c>
      <c r="G277" s="2" t="str">
        <f>IF(_xlfn.XLOOKUP(C277,customers!$A$1:$A$1001,customers!$C$1:$C$1001, ,0)=0,"",_xlfn.XLOOKUP(C277,customers!$A$1:$A$1001,customers!$C$1:$C$1001, ,0))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c r="Q277" s="5">
        <f>_xlfn.XLOOKUP(Orders[[#This Row],[Product ID]],products!$A$1:$A$49,products!$G$1:$G$49) *Orders[[#This Row],[Quantity]]</f>
        <v>22.542299999999997</v>
      </c>
    </row>
    <row r="278" spans="1:17" x14ac:dyDescent="0.25">
      <c r="A278" s="2" t="s">
        <v>2050</v>
      </c>
      <c r="B278" s="3">
        <v>43992</v>
      </c>
      <c r="C278" s="2" t="s">
        <v>2051</v>
      </c>
      <c r="D278" t="s">
        <v>6142</v>
      </c>
      <c r="E278" s="2">
        <v>4</v>
      </c>
      <c r="F278" s="2" t="str">
        <f>_xlfn.XLOOKUP(C278,customers!$A$1:$A$1001,customers!$B$1:$B$1001,,0)</f>
        <v>Dorelia Bury</v>
      </c>
      <c r="G278" s="2" t="str">
        <f>IF(_xlfn.XLOOKUP(C278,customers!$A$1:$A$1001,customers!$C$1:$C$1001, ,0)=0,"",_xlfn.XLOOKUP(C278,customers!$A$1:$A$1001,customers!$C$1:$C$1001, ,0))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c r="Q278" s="5">
        <f>_xlfn.XLOOKUP(Orders[[#This Row],[Product ID]],products!$A$1:$A$49,products!$G$1:$G$49) *Orders[[#This Row],[Quantity]]</f>
        <v>6.5963999999999992</v>
      </c>
    </row>
    <row r="279" spans="1:17" x14ac:dyDescent="0.25">
      <c r="A279" s="2" t="s">
        <v>2056</v>
      </c>
      <c r="B279" s="3">
        <v>44183</v>
      </c>
      <c r="C279" s="2" t="s">
        <v>2057</v>
      </c>
      <c r="D279" t="s">
        <v>6171</v>
      </c>
      <c r="E279" s="2">
        <v>6</v>
      </c>
      <c r="F279" s="2" t="str">
        <f>_xlfn.XLOOKUP(C279,customers!$A$1:$A$1001,customers!$B$1:$B$1001,,0)</f>
        <v>Gussy Broadbear</v>
      </c>
      <c r="G279" s="2" t="str">
        <f>IF(_xlfn.XLOOKUP(C279,customers!$A$1:$A$1001,customers!$C$1:$C$1001, ,0)=0,"",_xlfn.XLOOKUP(C279,customers!$A$1:$A$1001,customers!$C$1:$C$1001, ,0))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c r="Q279" s="5">
        <f>_xlfn.XLOOKUP(Orders[[#This Row],[Product ID]],products!$A$1:$A$49,products!$G$1:$G$49) *Orders[[#This Row],[Quantity]]</f>
        <v>9.8010000000000002</v>
      </c>
    </row>
    <row r="280" spans="1:17" x14ac:dyDescent="0.25">
      <c r="A280" s="2" t="s">
        <v>2062</v>
      </c>
      <c r="B280" s="3">
        <v>43708</v>
      </c>
      <c r="C280" s="2" t="s">
        <v>2063</v>
      </c>
      <c r="D280" t="s">
        <v>6167</v>
      </c>
      <c r="E280" s="2">
        <v>2</v>
      </c>
      <c r="F280" s="2" t="str">
        <f>_xlfn.XLOOKUP(C280,customers!$A$1:$A$1001,customers!$B$1:$B$1001,,0)</f>
        <v>Emlynne Palfrey</v>
      </c>
      <c r="G280" s="2" t="str">
        <f>IF(_xlfn.XLOOKUP(C280,customers!$A$1:$A$1001,customers!$C$1:$C$1001, ,0)=0,"",_xlfn.XLOOKUP(C280,customers!$A$1:$A$1001,customers!$C$1:$C$1001, ,0))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c r="Q280" s="5">
        <f>_xlfn.XLOOKUP(Orders[[#This Row],[Product ID]],products!$A$1:$A$49,products!$G$1:$G$49) *Orders[[#This Row],[Quantity]]</f>
        <v>0.69929999999999992</v>
      </c>
    </row>
    <row r="281" spans="1:17" x14ac:dyDescent="0.25">
      <c r="A281" s="2" t="s">
        <v>2068</v>
      </c>
      <c r="B281" s="3">
        <v>43521</v>
      </c>
      <c r="C281" s="2" t="s">
        <v>2069</v>
      </c>
      <c r="D281" t="s">
        <v>6181</v>
      </c>
      <c r="E281" s="2">
        <v>1</v>
      </c>
      <c r="F281" s="2" t="str">
        <f>_xlfn.XLOOKUP(C281,customers!$A$1:$A$1001,customers!$B$1:$B$1001,,0)</f>
        <v>Parsifal Metrick</v>
      </c>
      <c r="G281" s="2" t="str">
        <f>IF(_xlfn.XLOOKUP(C281,customers!$A$1:$A$1001,customers!$C$1:$C$1001, ,0)=0,"",_xlfn.XLOOKUP(C281,customers!$A$1:$A$1001,customers!$C$1:$C$1001, ,0))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c r="Q281" s="5">
        <f>_xlfn.XLOOKUP(Orders[[#This Row],[Product ID]],products!$A$1:$A$49,products!$G$1:$G$49) *Orders[[#This Row],[Quantity]]</f>
        <v>4.3504499999999995</v>
      </c>
    </row>
    <row r="282" spans="1:17"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 ,0)=0,"",_xlfn.XLOOKUP(C282,customers!$A$1:$A$1001,customers!$C$1:$C$1001, ,0))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c r="Q282" s="5">
        <f>_xlfn.XLOOKUP(Orders[[#This Row],[Product ID]],products!$A$1:$A$49,products!$G$1:$G$49) *Orders[[#This Row],[Quantity]]</f>
        <v>4.5374999999999996</v>
      </c>
    </row>
    <row r="283" spans="1:17" x14ac:dyDescent="0.25">
      <c r="A283" s="2" t="s">
        <v>2079</v>
      </c>
      <c r="B283" s="3">
        <v>44210</v>
      </c>
      <c r="C283" s="2" t="s">
        <v>2080</v>
      </c>
      <c r="D283" t="s">
        <v>6171</v>
      </c>
      <c r="E283" s="2">
        <v>4</v>
      </c>
      <c r="F283" s="2" t="str">
        <f>_xlfn.XLOOKUP(C283,customers!$A$1:$A$1001,customers!$B$1:$B$1001,,0)</f>
        <v>Karlan Karby</v>
      </c>
      <c r="G283" s="2" t="str">
        <f>IF(_xlfn.XLOOKUP(C283,customers!$A$1:$A$1001,customers!$C$1:$C$1001, ,0)=0,"",_xlfn.XLOOKUP(C283,customers!$A$1:$A$1001,customers!$C$1:$C$1001, ,0))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c r="Q283" s="5">
        <f>_xlfn.XLOOKUP(Orders[[#This Row],[Product ID]],products!$A$1:$A$49,products!$G$1:$G$49) *Orders[[#This Row],[Quantity]]</f>
        <v>6.5339999999999998</v>
      </c>
    </row>
    <row r="284" spans="1:17" x14ac:dyDescent="0.25">
      <c r="A284" s="2" t="s">
        <v>2085</v>
      </c>
      <c r="B284" s="3">
        <v>43520</v>
      </c>
      <c r="C284" s="2" t="s">
        <v>2086</v>
      </c>
      <c r="D284" t="s">
        <v>6180</v>
      </c>
      <c r="E284" s="2">
        <v>1</v>
      </c>
      <c r="F284" s="2" t="str">
        <f>_xlfn.XLOOKUP(C284,customers!$A$1:$A$1001,customers!$B$1:$B$1001,,0)</f>
        <v>Flory Crumpe</v>
      </c>
      <c r="G284" s="2" t="str">
        <f>IF(_xlfn.XLOOKUP(C284,customers!$A$1:$A$1001,customers!$C$1:$C$1001, ,0)=0,"",_xlfn.XLOOKUP(C284,customers!$A$1:$A$1001,customers!$C$1:$C$1001, ,0))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c r="Q284" s="5">
        <f>_xlfn.XLOOKUP(Orders[[#This Row],[Product ID]],products!$A$1:$A$49,products!$G$1:$G$49) *Orders[[#This Row],[Quantity]]</f>
        <v>0.69929999999999992</v>
      </c>
    </row>
    <row r="285" spans="1:17" x14ac:dyDescent="0.25">
      <c r="A285" s="2" t="s">
        <v>2091</v>
      </c>
      <c r="B285" s="3">
        <v>43639</v>
      </c>
      <c r="C285" s="2" t="s">
        <v>2092</v>
      </c>
      <c r="D285" t="s">
        <v>6172</v>
      </c>
      <c r="E285" s="2">
        <v>1</v>
      </c>
      <c r="F285" s="2" t="str">
        <f>_xlfn.XLOOKUP(C285,customers!$A$1:$A$1001,customers!$B$1:$B$1001,,0)</f>
        <v>Amity Chatto</v>
      </c>
      <c r="G285" s="2" t="str">
        <f>IF(_xlfn.XLOOKUP(C285,customers!$A$1:$A$1001,customers!$C$1:$C$1001, ,0)=0,"",_xlfn.XLOOKUP(C285,customers!$A$1:$A$1001,customers!$C$1:$C$1001, ,0))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c r="Q285" s="5">
        <f>_xlfn.XLOOKUP(Orders[[#This Row],[Product ID]],products!$A$1:$A$49,products!$G$1:$G$49) *Orders[[#This Row],[Quantity]]</f>
        <v>0.32219999999999993</v>
      </c>
    </row>
    <row r="286" spans="1:17" x14ac:dyDescent="0.25">
      <c r="A286" s="2" t="s">
        <v>2097</v>
      </c>
      <c r="B286" s="3">
        <v>43960</v>
      </c>
      <c r="C286" s="2" t="s">
        <v>2098</v>
      </c>
      <c r="D286" t="s">
        <v>6166</v>
      </c>
      <c r="E286" s="2">
        <v>3</v>
      </c>
      <c r="F286" s="2" t="str">
        <f>_xlfn.XLOOKUP(C286,customers!$A$1:$A$1001,customers!$B$1:$B$1001,,0)</f>
        <v>Nanine McCarthy</v>
      </c>
      <c r="G286" s="2" t="str">
        <f>IF(_xlfn.XLOOKUP(C286,customers!$A$1:$A$1001,customers!$C$1:$C$1001, ,0)=0,"",_xlfn.XLOOKUP(C286,customers!$A$1:$A$1001,customers!$C$1:$C$1001, ,0))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c r="Q286" s="5">
        <f>_xlfn.XLOOKUP(Orders[[#This Row],[Product ID]],products!$A$1:$A$49,products!$G$1:$G$49) *Orders[[#This Row],[Quantity]]</f>
        <v>10.436249999999999</v>
      </c>
    </row>
    <row r="287" spans="1:17" x14ac:dyDescent="0.25">
      <c r="A287" s="2" t="s">
        <v>2102</v>
      </c>
      <c r="B287" s="3">
        <v>44030</v>
      </c>
      <c r="C287" s="2" t="s">
        <v>2103</v>
      </c>
      <c r="D287" t="s">
        <v>6164</v>
      </c>
      <c r="E287" s="2">
        <v>1</v>
      </c>
      <c r="F287" s="2" t="str">
        <f>_xlfn.XLOOKUP(C287,customers!$A$1:$A$1001,customers!$B$1:$B$1001,,0)</f>
        <v>Lyndsey Megany</v>
      </c>
      <c r="G287" s="2" t="str">
        <f>IF(_xlfn.XLOOKUP(C287,customers!$A$1:$A$1001,customers!$C$1:$C$1001, ,0)=0,"",_xlfn.XLOOKUP(C287,customers!$A$1:$A$1001,customers!$C$1:$C$1001, ,0))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c r="Q287" s="5">
        <f>_xlfn.XLOOKUP(Orders[[#This Row],[Product ID]],products!$A$1:$A$49,products!$G$1:$G$49) *Orders[[#This Row],[Quantity]]</f>
        <v>4.7391499999999995</v>
      </c>
    </row>
    <row r="288" spans="1:17" x14ac:dyDescent="0.25">
      <c r="A288" s="2" t="s">
        <v>2107</v>
      </c>
      <c r="B288" s="3">
        <v>43755</v>
      </c>
      <c r="C288" s="2" t="s">
        <v>2108</v>
      </c>
      <c r="D288" t="s">
        <v>6152</v>
      </c>
      <c r="E288" s="2">
        <v>4</v>
      </c>
      <c r="F288" s="2" t="str">
        <f>_xlfn.XLOOKUP(C288,customers!$A$1:$A$1001,customers!$B$1:$B$1001,,0)</f>
        <v>Byram Mergue</v>
      </c>
      <c r="G288" s="2" t="str">
        <f>IF(_xlfn.XLOOKUP(C288,customers!$A$1:$A$1001,customers!$C$1:$C$1001, ,0)=0,"",_xlfn.XLOOKUP(C288,customers!$A$1:$A$1001,customers!$C$1:$C$1001, ,0))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c r="Q288" s="5">
        <f>_xlfn.XLOOKUP(Orders[[#This Row],[Product ID]],products!$A$1:$A$49,products!$G$1:$G$49) *Orders[[#This Row],[Quantity]]</f>
        <v>1.2149999999999999</v>
      </c>
    </row>
    <row r="289" spans="1:17" x14ac:dyDescent="0.25">
      <c r="A289" s="2" t="s">
        <v>2112</v>
      </c>
      <c r="B289" s="3">
        <v>44697</v>
      </c>
      <c r="C289" s="2" t="s">
        <v>2113</v>
      </c>
      <c r="D289" t="s">
        <v>6178</v>
      </c>
      <c r="E289" s="2">
        <v>4</v>
      </c>
      <c r="F289" s="2" t="str">
        <f>_xlfn.XLOOKUP(C289,customers!$A$1:$A$1001,customers!$B$1:$B$1001,,0)</f>
        <v>Kerr Patise</v>
      </c>
      <c r="G289" s="2" t="str">
        <f>IF(_xlfn.XLOOKUP(C289,customers!$A$1:$A$1001,customers!$C$1:$C$1001, ,0)=0,"",_xlfn.XLOOKUP(C289,customers!$A$1:$A$1001,customers!$C$1:$C$1001, ,0))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c r="Q289" s="5">
        <f>_xlfn.XLOOKUP(Orders[[#This Row],[Product ID]],products!$A$1:$A$49,products!$G$1:$G$49) *Orders[[#This Row],[Quantity]]</f>
        <v>0.86039999999999983</v>
      </c>
    </row>
    <row r="290" spans="1:17" x14ac:dyDescent="0.25">
      <c r="A290" s="2" t="s">
        <v>2118</v>
      </c>
      <c r="B290" s="3">
        <v>44279</v>
      </c>
      <c r="C290" s="2" t="s">
        <v>2119</v>
      </c>
      <c r="D290" t="s">
        <v>6139</v>
      </c>
      <c r="E290" s="2">
        <v>1</v>
      </c>
      <c r="F290" s="2" t="str">
        <f>_xlfn.XLOOKUP(C290,customers!$A$1:$A$1001,customers!$B$1:$B$1001,,0)</f>
        <v>Mathew Goulter</v>
      </c>
      <c r="G290" s="2" t="str">
        <f>IF(_xlfn.XLOOKUP(C290,customers!$A$1:$A$1001,customers!$C$1:$C$1001, ,0)=0,"",_xlfn.XLOOKUP(C290,customers!$A$1:$A$1001,customers!$C$1:$C$1001, ,0))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c r="Q290" s="5">
        <f>_xlfn.XLOOKUP(Orders[[#This Row],[Product ID]],products!$A$1:$A$49,products!$G$1:$G$49) *Orders[[#This Row],[Quantity]]</f>
        <v>0.90749999999999997</v>
      </c>
    </row>
    <row r="291" spans="1:17" x14ac:dyDescent="0.25">
      <c r="A291" s="2" t="s">
        <v>2123</v>
      </c>
      <c r="B291" s="3">
        <v>43772</v>
      </c>
      <c r="C291" s="2" t="s">
        <v>2124</v>
      </c>
      <c r="D291" t="s">
        <v>6163</v>
      </c>
      <c r="E291" s="2">
        <v>5</v>
      </c>
      <c r="F291" s="2" t="str">
        <f>_xlfn.XLOOKUP(C291,customers!$A$1:$A$1001,customers!$B$1:$B$1001,,0)</f>
        <v>Marris Grcic</v>
      </c>
      <c r="G291" s="2" t="str">
        <f>IF(_xlfn.XLOOKUP(C291,customers!$A$1:$A$1001,customers!$C$1:$C$1001, ,0)=0,"",_xlfn.XLOOKUP(C291,customers!$A$1:$A$1001,customers!$C$1:$C$1001, ,0))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c r="Q291" s="5">
        <f>_xlfn.XLOOKUP(Orders[[#This Row],[Product ID]],products!$A$1:$A$49,products!$G$1:$G$49) *Orders[[#This Row],[Quantity]]</f>
        <v>0.80549999999999988</v>
      </c>
    </row>
    <row r="292" spans="1:17" x14ac:dyDescent="0.25">
      <c r="A292" s="2" t="s">
        <v>2127</v>
      </c>
      <c r="B292" s="3">
        <v>44497</v>
      </c>
      <c r="C292" s="2" t="s">
        <v>2128</v>
      </c>
      <c r="D292" t="s">
        <v>6147</v>
      </c>
      <c r="E292" s="2">
        <v>5</v>
      </c>
      <c r="F292" s="2" t="str">
        <f>_xlfn.XLOOKUP(C292,customers!$A$1:$A$1001,customers!$B$1:$B$1001,,0)</f>
        <v>Domeniga Duke</v>
      </c>
      <c r="G292" s="2" t="str">
        <f>IF(_xlfn.XLOOKUP(C292,customers!$A$1:$A$1001,customers!$C$1:$C$1001, ,0)=0,"",_xlfn.XLOOKUP(C292,customers!$A$1:$A$1001,customers!$C$1:$C$1001, ,0))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c r="Q292" s="5">
        <f>_xlfn.XLOOKUP(Orders[[#This Row],[Product ID]],products!$A$1:$A$49,products!$G$1:$G$49) *Orders[[#This Row],[Quantity]]</f>
        <v>4.4774999999999991</v>
      </c>
    </row>
    <row r="293" spans="1:17"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 ,0)=0,"",_xlfn.XLOOKUP(C293,customers!$A$1:$A$1001,customers!$C$1:$C$1001, ,0))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c r="Q293" s="5">
        <f>_xlfn.XLOOKUP(Orders[[#This Row],[Product ID]],products!$A$1:$A$49,products!$G$1:$G$49) *Orders[[#This Row],[Quantity]]</f>
        <v>1.8149999999999999</v>
      </c>
    </row>
    <row r="294" spans="1:17" x14ac:dyDescent="0.25">
      <c r="A294" s="2" t="s">
        <v>2137</v>
      </c>
      <c r="B294" s="3">
        <v>44529</v>
      </c>
      <c r="C294" s="2" t="s">
        <v>2138</v>
      </c>
      <c r="D294" t="s">
        <v>6158</v>
      </c>
      <c r="E294" s="2">
        <v>3</v>
      </c>
      <c r="F294" s="2" t="str">
        <f>_xlfn.XLOOKUP(C294,customers!$A$1:$A$1001,customers!$B$1:$B$1001,,0)</f>
        <v>Isidore Hussey</v>
      </c>
      <c r="G294" s="2" t="str">
        <f>IF(_xlfn.XLOOKUP(C294,customers!$A$1:$A$1001,customers!$C$1:$C$1001, ,0)=0,"",_xlfn.XLOOKUP(C294,customers!$A$1:$A$1001,customers!$C$1:$C$1001, ,0))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c r="Q294" s="5">
        <f>_xlfn.XLOOKUP(Orders[[#This Row],[Product ID]],products!$A$1:$A$49,products!$G$1:$G$49) *Orders[[#This Row],[Quantity]]</f>
        <v>1.6118999999999999</v>
      </c>
    </row>
    <row r="295" spans="1:17" x14ac:dyDescent="0.25">
      <c r="A295" s="2" t="s">
        <v>2142</v>
      </c>
      <c r="B295" s="3">
        <v>44275</v>
      </c>
      <c r="C295" s="2" t="s">
        <v>2143</v>
      </c>
      <c r="D295" t="s">
        <v>6158</v>
      </c>
      <c r="E295" s="2">
        <v>5</v>
      </c>
      <c r="F295" s="2" t="str">
        <f>_xlfn.XLOOKUP(C295,customers!$A$1:$A$1001,customers!$B$1:$B$1001,,0)</f>
        <v>Cassie Pinkerton</v>
      </c>
      <c r="G295" s="2" t="str">
        <f>IF(_xlfn.XLOOKUP(C295,customers!$A$1:$A$1001,customers!$C$1:$C$1001, ,0)=0,"",_xlfn.XLOOKUP(C295,customers!$A$1:$A$1001,customers!$C$1:$C$1001, ,0))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c r="Q295" s="5">
        <f>_xlfn.XLOOKUP(Orders[[#This Row],[Product ID]],products!$A$1:$A$49,products!$G$1:$G$49) *Orders[[#This Row],[Quantity]]</f>
        <v>2.6865000000000001</v>
      </c>
    </row>
    <row r="296" spans="1:17" x14ac:dyDescent="0.25">
      <c r="A296" s="2" t="s">
        <v>2148</v>
      </c>
      <c r="B296" s="3">
        <v>44659</v>
      </c>
      <c r="C296" s="2" t="s">
        <v>2149</v>
      </c>
      <c r="D296" t="s">
        <v>6171</v>
      </c>
      <c r="E296" s="2">
        <v>3</v>
      </c>
      <c r="F296" s="2" t="str">
        <f>_xlfn.XLOOKUP(C296,customers!$A$1:$A$1001,customers!$B$1:$B$1001,,0)</f>
        <v>Micki Fero</v>
      </c>
      <c r="G296" s="2" t="str">
        <f>IF(_xlfn.XLOOKUP(C296,customers!$A$1:$A$1001,customers!$C$1:$C$1001, ,0)=0,"",_xlfn.XLOOKUP(C296,customers!$A$1:$A$1001,customers!$C$1:$C$1001, ,0))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c r="Q296" s="5">
        <f>_xlfn.XLOOKUP(Orders[[#This Row],[Product ID]],products!$A$1:$A$49,products!$G$1:$G$49) *Orders[[#This Row],[Quantity]]</f>
        <v>4.9005000000000001</v>
      </c>
    </row>
    <row r="297" spans="1:17" x14ac:dyDescent="0.25">
      <c r="A297" s="2" t="s">
        <v>2153</v>
      </c>
      <c r="B297" s="3">
        <v>44057</v>
      </c>
      <c r="C297" s="2" t="s">
        <v>2154</v>
      </c>
      <c r="D297" t="s">
        <v>6141</v>
      </c>
      <c r="E297" s="2">
        <v>2</v>
      </c>
      <c r="F297" s="2" t="str">
        <f>_xlfn.XLOOKUP(C297,customers!$A$1:$A$1001,customers!$B$1:$B$1001,,0)</f>
        <v>Cybill Graddell</v>
      </c>
      <c r="G297" s="2" t="str">
        <f>IF(_xlfn.XLOOKUP(C297,customers!$A$1:$A$1001,customers!$C$1:$C$1001, ,0)=0,"",_xlfn.XLOOKUP(C297,customers!$A$1:$A$1001,customers!$C$1:$C$1001, ,0))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c r="Q297" s="5">
        <f>_xlfn.XLOOKUP(Orders[[#This Row],[Product ID]],products!$A$1:$A$49,products!$G$1:$G$49) *Orders[[#This Row],[Quantity]]</f>
        <v>3.0249999999999999</v>
      </c>
    </row>
    <row r="298" spans="1:17" x14ac:dyDescent="0.25">
      <c r="A298" s="2" t="s">
        <v>2157</v>
      </c>
      <c r="B298" s="3">
        <v>43597</v>
      </c>
      <c r="C298" s="2" t="s">
        <v>2158</v>
      </c>
      <c r="D298" t="s">
        <v>6146</v>
      </c>
      <c r="E298" s="2">
        <v>6</v>
      </c>
      <c r="F298" s="2" t="str">
        <f>_xlfn.XLOOKUP(C298,customers!$A$1:$A$1001,customers!$B$1:$B$1001,,0)</f>
        <v>Dorian Vizor</v>
      </c>
      <c r="G298" s="2" t="str">
        <f>IF(_xlfn.XLOOKUP(C298,customers!$A$1:$A$1001,customers!$C$1:$C$1001, ,0)=0,"",_xlfn.XLOOKUP(C298,customers!$A$1:$A$1001,customers!$C$1:$C$1001, ,0))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c r="Q298" s="5">
        <f>_xlfn.XLOOKUP(Orders[[#This Row],[Product ID]],products!$A$1:$A$49,products!$G$1:$G$49) *Orders[[#This Row],[Quantity]]</f>
        <v>2.1491999999999996</v>
      </c>
    </row>
    <row r="299" spans="1:17" x14ac:dyDescent="0.25">
      <c r="A299" s="2" t="s">
        <v>2163</v>
      </c>
      <c r="B299" s="3">
        <v>44258</v>
      </c>
      <c r="C299" s="2" t="s">
        <v>2164</v>
      </c>
      <c r="D299" t="s">
        <v>6172</v>
      </c>
      <c r="E299" s="2">
        <v>3</v>
      </c>
      <c r="F299" s="2" t="str">
        <f>_xlfn.XLOOKUP(C299,customers!$A$1:$A$1001,customers!$B$1:$B$1001,,0)</f>
        <v>Eddi Sedgebeer</v>
      </c>
      <c r="G299" s="2" t="str">
        <f>IF(_xlfn.XLOOKUP(C299,customers!$A$1:$A$1001,customers!$C$1:$C$1001, ,0)=0,"",_xlfn.XLOOKUP(C299,customers!$A$1:$A$1001,customers!$C$1:$C$1001, ,0))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c r="Q299" s="5">
        <f>_xlfn.XLOOKUP(Orders[[#This Row],[Product ID]],products!$A$1:$A$49,products!$G$1:$G$49) *Orders[[#This Row],[Quantity]]</f>
        <v>0.96659999999999979</v>
      </c>
    </row>
    <row r="300" spans="1:17" x14ac:dyDescent="0.25">
      <c r="A300" s="2" t="s">
        <v>2169</v>
      </c>
      <c r="B300" s="3">
        <v>43872</v>
      </c>
      <c r="C300" s="2" t="s">
        <v>2170</v>
      </c>
      <c r="D300" t="s">
        <v>6184</v>
      </c>
      <c r="E300" s="2">
        <v>6</v>
      </c>
      <c r="F300" s="2" t="str">
        <f>_xlfn.XLOOKUP(C300,customers!$A$1:$A$1001,customers!$B$1:$B$1001,,0)</f>
        <v>Ken Lestrange</v>
      </c>
      <c r="G300" s="2" t="str">
        <f>IF(_xlfn.XLOOKUP(C300,customers!$A$1:$A$1001,customers!$C$1:$C$1001, ,0)=0,"",_xlfn.XLOOKUP(C300,customers!$A$1:$A$1001,customers!$C$1:$C$1001, ,0))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c r="Q300" s="5">
        <f>_xlfn.XLOOKUP(Orders[[#This Row],[Product ID]],products!$A$1:$A$49,products!$G$1:$G$49) *Orders[[#This Row],[Quantity]]</f>
        <v>2.9402999999999997</v>
      </c>
    </row>
    <row r="301" spans="1:17" x14ac:dyDescent="0.25">
      <c r="A301" s="2" t="s">
        <v>2175</v>
      </c>
      <c r="B301" s="3">
        <v>43582</v>
      </c>
      <c r="C301" s="2" t="s">
        <v>2176</v>
      </c>
      <c r="D301" t="s">
        <v>6148</v>
      </c>
      <c r="E301" s="2">
        <v>6</v>
      </c>
      <c r="F301" s="2" t="str">
        <f>_xlfn.XLOOKUP(C301,customers!$A$1:$A$1001,customers!$B$1:$B$1001,,0)</f>
        <v>Lacee Tanti</v>
      </c>
      <c r="G301" s="2" t="str">
        <f>IF(_xlfn.XLOOKUP(C301,customers!$A$1:$A$1001,customers!$C$1:$C$1001, ,0)=0,"",_xlfn.XLOOKUP(C301,customers!$A$1:$A$1001,customers!$C$1:$C$1001, ,0))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c r="Q301" s="5">
        <f>_xlfn.XLOOKUP(Orders[[#This Row],[Product ID]],products!$A$1:$A$49,products!$G$1:$G$49) *Orders[[#This Row],[Quantity]]</f>
        <v>22.542299999999997</v>
      </c>
    </row>
    <row r="302" spans="1:17" x14ac:dyDescent="0.25">
      <c r="A302" s="2" t="s">
        <v>2181</v>
      </c>
      <c r="B302" s="3">
        <v>44646</v>
      </c>
      <c r="C302" s="2" t="s">
        <v>2182</v>
      </c>
      <c r="D302" t="s">
        <v>6140</v>
      </c>
      <c r="E302" s="2">
        <v>3</v>
      </c>
      <c r="F302" s="2" t="str">
        <f>_xlfn.XLOOKUP(C302,customers!$A$1:$A$1001,customers!$B$1:$B$1001,,0)</f>
        <v>Arel De Lasci</v>
      </c>
      <c r="G302" s="2" t="str">
        <f>IF(_xlfn.XLOOKUP(C302,customers!$A$1:$A$1001,customers!$C$1:$C$1001, ,0)=0,"",_xlfn.XLOOKUP(C302,customers!$A$1:$A$1001,customers!$C$1:$C$1001, ,0))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c r="Q302" s="5">
        <f>_xlfn.XLOOKUP(Orders[[#This Row],[Product ID]],products!$A$1:$A$49,products!$G$1:$G$49) *Orders[[#This Row],[Quantity]]</f>
        <v>3.4965000000000002</v>
      </c>
    </row>
    <row r="303" spans="1:17"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 ,0)=0,"",_xlfn.XLOOKUP(C303,customers!$A$1:$A$1001,customers!$C$1:$C$1001, ,0))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c r="Q303" s="5">
        <f>_xlfn.XLOOKUP(Orders[[#This Row],[Product ID]],products!$A$1:$A$49,products!$G$1:$G$49) *Orders[[#This Row],[Quantity]]</f>
        <v>2.0202</v>
      </c>
    </row>
    <row r="304" spans="1:17" x14ac:dyDescent="0.25">
      <c r="A304" s="2" t="s">
        <v>2193</v>
      </c>
      <c r="B304" s="3">
        <v>43762</v>
      </c>
      <c r="C304" s="2" t="s">
        <v>2194</v>
      </c>
      <c r="D304" t="s">
        <v>6157</v>
      </c>
      <c r="E304" s="2">
        <v>1</v>
      </c>
      <c r="F304" s="2" t="str">
        <f>_xlfn.XLOOKUP(C304,customers!$A$1:$A$1001,customers!$B$1:$B$1001,,0)</f>
        <v>Perkin Stonner</v>
      </c>
      <c r="G304" s="2" t="str">
        <f>IF(_xlfn.XLOOKUP(C304,customers!$A$1:$A$1001,customers!$C$1:$C$1001, ,0)=0,"",_xlfn.XLOOKUP(C304,customers!$A$1:$A$1001,customers!$C$1:$C$1001, ,0))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c r="Q304" s="5">
        <f>_xlfn.XLOOKUP(Orders[[#This Row],[Product ID]],products!$A$1:$A$49,products!$G$1:$G$49) *Orders[[#This Row],[Quantity]]</f>
        <v>0.60749999999999993</v>
      </c>
    </row>
    <row r="305" spans="1:17" x14ac:dyDescent="0.25">
      <c r="A305" s="2" t="s">
        <v>2199</v>
      </c>
      <c r="B305" s="3">
        <v>44412</v>
      </c>
      <c r="C305" s="2" t="s">
        <v>2200</v>
      </c>
      <c r="D305" t="s">
        <v>6185</v>
      </c>
      <c r="E305" s="2">
        <v>4</v>
      </c>
      <c r="F305" s="2" t="str">
        <f>_xlfn.XLOOKUP(C305,customers!$A$1:$A$1001,customers!$B$1:$B$1001,,0)</f>
        <v>Darrin Tingly</v>
      </c>
      <c r="G305" s="2" t="str">
        <f>IF(_xlfn.XLOOKUP(C305,customers!$A$1:$A$1001,customers!$C$1:$C$1001, ,0)=0,"",_xlfn.XLOOKUP(C305,customers!$A$1:$A$1001,customers!$C$1:$C$1001, ,0))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c r="Q305" s="5">
        <f>_xlfn.XLOOKUP(Orders[[#This Row],[Product ID]],products!$A$1:$A$49,products!$G$1:$G$49) *Orders[[#This Row],[Quantity]]</f>
        <v>12.2958</v>
      </c>
    </row>
    <row r="306" spans="1:17" x14ac:dyDescent="0.25">
      <c r="A306" s="2" t="s">
        <v>2204</v>
      </c>
      <c r="B306" s="3">
        <v>43828</v>
      </c>
      <c r="C306" s="2" t="s">
        <v>2245</v>
      </c>
      <c r="D306" t="s">
        <v>6167</v>
      </c>
      <c r="E306" s="2">
        <v>1</v>
      </c>
      <c r="F306" s="2" t="str">
        <f>_xlfn.XLOOKUP(C306,customers!$A$1:$A$1001,customers!$B$1:$B$1001,,0)</f>
        <v>Claudetta Rushe</v>
      </c>
      <c r="G306" s="2" t="str">
        <f>IF(_xlfn.XLOOKUP(C306,customers!$A$1:$A$1001,customers!$C$1:$C$1001, ,0)=0,"",_xlfn.XLOOKUP(C306,customers!$A$1:$A$1001,customers!$C$1:$C$1001, ,0))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c r="Q306" s="5">
        <f>_xlfn.XLOOKUP(Orders[[#This Row],[Product ID]],products!$A$1:$A$49,products!$G$1:$G$49) *Orders[[#This Row],[Quantity]]</f>
        <v>0.34964999999999996</v>
      </c>
    </row>
    <row r="307" spans="1:17" x14ac:dyDescent="0.25">
      <c r="A307" s="2" t="s">
        <v>2209</v>
      </c>
      <c r="B307" s="3">
        <v>43796</v>
      </c>
      <c r="C307" s="2" t="s">
        <v>2210</v>
      </c>
      <c r="D307" t="s">
        <v>6159</v>
      </c>
      <c r="E307" s="2">
        <v>5</v>
      </c>
      <c r="F307" s="2" t="str">
        <f>_xlfn.XLOOKUP(C307,customers!$A$1:$A$1001,customers!$B$1:$B$1001,,0)</f>
        <v>Benn Checci</v>
      </c>
      <c r="G307" s="2" t="str">
        <f>IF(_xlfn.XLOOKUP(C307,customers!$A$1:$A$1001,customers!$C$1:$C$1001, ,0)=0,"",_xlfn.XLOOKUP(C307,customers!$A$1:$A$1001,customers!$C$1:$C$1001, ,0))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c r="Q307" s="5">
        <f>_xlfn.XLOOKUP(Orders[[#This Row],[Product ID]],products!$A$1:$A$49,products!$G$1:$G$49) *Orders[[#This Row],[Quantity]]</f>
        <v>2.83725</v>
      </c>
    </row>
    <row r="308" spans="1:17" x14ac:dyDescent="0.25">
      <c r="A308" s="2" t="s">
        <v>2215</v>
      </c>
      <c r="B308" s="3">
        <v>43890</v>
      </c>
      <c r="C308" s="2" t="s">
        <v>2216</v>
      </c>
      <c r="D308" t="s">
        <v>6174</v>
      </c>
      <c r="E308" s="2">
        <v>5</v>
      </c>
      <c r="F308" s="2" t="str">
        <f>_xlfn.XLOOKUP(C308,customers!$A$1:$A$1001,customers!$B$1:$B$1001,,0)</f>
        <v>Janifer Bagot</v>
      </c>
      <c r="G308" s="2" t="str">
        <f>IF(_xlfn.XLOOKUP(C308,customers!$A$1:$A$1001,customers!$C$1:$C$1001, ,0)=0,"",_xlfn.XLOOKUP(C308,customers!$A$1:$A$1001,customers!$C$1:$C$1001, ,0))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c r="Q308" s="5">
        <f>_xlfn.XLOOKUP(Orders[[#This Row],[Product ID]],products!$A$1:$A$49,products!$G$1:$G$49) *Orders[[#This Row],[Quantity]]</f>
        <v>0.89549999999999996</v>
      </c>
    </row>
    <row r="309" spans="1:17" x14ac:dyDescent="0.25">
      <c r="A309" s="2" t="s">
        <v>2221</v>
      </c>
      <c r="B309" s="3">
        <v>44227</v>
      </c>
      <c r="C309" s="2" t="s">
        <v>2222</v>
      </c>
      <c r="D309" t="s">
        <v>6155</v>
      </c>
      <c r="E309" s="2">
        <v>3</v>
      </c>
      <c r="F309" s="2" t="str">
        <f>_xlfn.XLOOKUP(C309,customers!$A$1:$A$1001,customers!$B$1:$B$1001,,0)</f>
        <v>Ermin Beeble</v>
      </c>
      <c r="G309" s="2" t="str">
        <f>IF(_xlfn.XLOOKUP(C309,customers!$A$1:$A$1001,customers!$C$1:$C$1001, ,0)=0,"",_xlfn.XLOOKUP(C309,customers!$A$1:$A$1001,customers!$C$1:$C$1001, ,0))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c r="Q309" s="5">
        <f>_xlfn.XLOOKUP(Orders[[#This Row],[Product ID]],products!$A$1:$A$49,products!$G$1:$G$49) *Orders[[#This Row],[Quantity]]</f>
        <v>3.0374999999999996</v>
      </c>
    </row>
    <row r="310" spans="1:17" x14ac:dyDescent="0.25">
      <c r="A310" s="2" t="s">
        <v>2227</v>
      </c>
      <c r="B310" s="3">
        <v>44729</v>
      </c>
      <c r="C310" s="2" t="s">
        <v>2228</v>
      </c>
      <c r="D310" t="s">
        <v>6155</v>
      </c>
      <c r="E310" s="2">
        <v>3</v>
      </c>
      <c r="F310" s="2" t="str">
        <f>_xlfn.XLOOKUP(C310,customers!$A$1:$A$1001,customers!$B$1:$B$1001,,0)</f>
        <v>Cos Fluin</v>
      </c>
      <c r="G310" s="2" t="str">
        <f>IF(_xlfn.XLOOKUP(C310,customers!$A$1:$A$1001,customers!$C$1:$C$1001, ,0)=0,"",_xlfn.XLOOKUP(C310,customers!$A$1:$A$1001,customers!$C$1:$C$1001, ,0))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c r="Q310" s="5">
        <f>_xlfn.XLOOKUP(Orders[[#This Row],[Product ID]],products!$A$1:$A$49,products!$G$1:$G$49) *Orders[[#This Row],[Quantity]]</f>
        <v>3.0374999999999996</v>
      </c>
    </row>
    <row r="311" spans="1:17" x14ac:dyDescent="0.25">
      <c r="A311" s="2" t="s">
        <v>2232</v>
      </c>
      <c r="B311" s="3">
        <v>43864</v>
      </c>
      <c r="C311" s="2" t="s">
        <v>2233</v>
      </c>
      <c r="D311" t="s">
        <v>6159</v>
      </c>
      <c r="E311" s="2">
        <v>6</v>
      </c>
      <c r="F311" s="2" t="str">
        <f>_xlfn.XLOOKUP(C311,customers!$A$1:$A$1001,customers!$B$1:$B$1001,,0)</f>
        <v>Eveleen Bletsor</v>
      </c>
      <c r="G311" s="2" t="str">
        <f>IF(_xlfn.XLOOKUP(C311,customers!$A$1:$A$1001,customers!$C$1:$C$1001, ,0)=0,"",_xlfn.XLOOKUP(C311,customers!$A$1:$A$1001,customers!$C$1:$C$1001, ,0))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c r="Q311" s="5">
        <f>_xlfn.XLOOKUP(Orders[[#This Row],[Product ID]],products!$A$1:$A$49,products!$G$1:$G$49) *Orders[[#This Row],[Quantity]]</f>
        <v>3.4047000000000001</v>
      </c>
    </row>
    <row r="312" spans="1:17" x14ac:dyDescent="0.25">
      <c r="A312" s="2" t="s">
        <v>2238</v>
      </c>
      <c r="B312" s="3">
        <v>44586</v>
      </c>
      <c r="C312" s="2" t="s">
        <v>2239</v>
      </c>
      <c r="D312" t="s">
        <v>6171</v>
      </c>
      <c r="E312" s="2">
        <v>1</v>
      </c>
      <c r="F312" s="2" t="str">
        <f>_xlfn.XLOOKUP(C312,customers!$A$1:$A$1001,customers!$B$1:$B$1001,,0)</f>
        <v>Paola Brydell</v>
      </c>
      <c r="G312" s="2" t="str">
        <f>IF(_xlfn.XLOOKUP(C312,customers!$A$1:$A$1001,customers!$C$1:$C$1001, ,0)=0,"",_xlfn.XLOOKUP(C312,customers!$A$1:$A$1001,customers!$C$1:$C$1001, ,0))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c r="Q312" s="5">
        <f>_xlfn.XLOOKUP(Orders[[#This Row],[Product ID]],products!$A$1:$A$49,products!$G$1:$G$49) *Orders[[#This Row],[Quantity]]</f>
        <v>1.6335</v>
      </c>
    </row>
    <row r="313" spans="1:17" x14ac:dyDescent="0.25">
      <c r="A313" s="2" t="s">
        <v>2244</v>
      </c>
      <c r="B313" s="3">
        <v>43951</v>
      </c>
      <c r="C313" s="2" t="s">
        <v>2245</v>
      </c>
      <c r="D313" t="s">
        <v>6166</v>
      </c>
      <c r="E313" s="2">
        <v>6</v>
      </c>
      <c r="F313" s="2" t="str">
        <f>_xlfn.XLOOKUP(C313,customers!$A$1:$A$1001,customers!$B$1:$B$1001,,0)</f>
        <v>Claudetta Rushe</v>
      </c>
      <c r="G313" s="2" t="str">
        <f>IF(_xlfn.XLOOKUP(C313,customers!$A$1:$A$1001,customers!$C$1:$C$1001, ,0)=0,"",_xlfn.XLOOKUP(C313,customers!$A$1:$A$1001,customers!$C$1:$C$1001, ,0))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c r="Q313" s="5">
        <f>_xlfn.XLOOKUP(Orders[[#This Row],[Product ID]],products!$A$1:$A$49,products!$G$1:$G$49) *Orders[[#This Row],[Quantity]]</f>
        <v>20.872499999999999</v>
      </c>
    </row>
    <row r="314" spans="1:17" x14ac:dyDescent="0.25">
      <c r="A314" s="2" t="s">
        <v>2250</v>
      </c>
      <c r="B314" s="3">
        <v>44317</v>
      </c>
      <c r="C314" s="2" t="s">
        <v>2251</v>
      </c>
      <c r="D314" t="s">
        <v>6146</v>
      </c>
      <c r="E314" s="2">
        <v>1</v>
      </c>
      <c r="F314" s="2" t="str">
        <f>_xlfn.XLOOKUP(C314,customers!$A$1:$A$1001,customers!$B$1:$B$1001,,0)</f>
        <v>Natka Leethem</v>
      </c>
      <c r="G314" s="2" t="str">
        <f>IF(_xlfn.XLOOKUP(C314,customers!$A$1:$A$1001,customers!$C$1:$C$1001, ,0)=0,"",_xlfn.XLOOKUP(C314,customers!$A$1:$A$1001,customers!$C$1:$C$1001, ,0))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c r="Q314" s="5">
        <f>_xlfn.XLOOKUP(Orders[[#This Row],[Product ID]],products!$A$1:$A$49,products!$G$1:$G$49) *Orders[[#This Row],[Quantity]]</f>
        <v>0.35819999999999996</v>
      </c>
    </row>
    <row r="315" spans="1:17" x14ac:dyDescent="0.25">
      <c r="A315" s="2" t="s">
        <v>2256</v>
      </c>
      <c r="B315" s="3">
        <v>44497</v>
      </c>
      <c r="C315" s="2" t="s">
        <v>2257</v>
      </c>
      <c r="D315" t="s">
        <v>6138</v>
      </c>
      <c r="E315" s="2">
        <v>3</v>
      </c>
      <c r="F315" s="2" t="str">
        <f>_xlfn.XLOOKUP(C315,customers!$A$1:$A$1001,customers!$B$1:$B$1001,,0)</f>
        <v>Ailene Nesfield</v>
      </c>
      <c r="G315" s="2" t="str">
        <f>IF(_xlfn.XLOOKUP(C315,customers!$A$1:$A$1001,customers!$C$1:$C$1001, ,0)=0,"",_xlfn.XLOOKUP(C315,customers!$A$1:$A$1001,customers!$C$1:$C$1001, ,0))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c r="Q315" s="5">
        <f>_xlfn.XLOOKUP(Orders[[#This Row],[Product ID]],products!$A$1:$A$49,products!$G$1:$G$49) *Orders[[#This Row],[Quantity]]</f>
        <v>1.7909999999999999</v>
      </c>
    </row>
    <row r="316" spans="1:17" x14ac:dyDescent="0.25">
      <c r="A316" s="2" t="s">
        <v>2262</v>
      </c>
      <c r="B316" s="3">
        <v>44437</v>
      </c>
      <c r="C316" s="2" t="s">
        <v>2263</v>
      </c>
      <c r="D316" t="s">
        <v>6177</v>
      </c>
      <c r="E316" s="2">
        <v>5</v>
      </c>
      <c r="F316" s="2" t="str">
        <f>_xlfn.XLOOKUP(C316,customers!$A$1:$A$1001,customers!$B$1:$B$1001,,0)</f>
        <v>Stacy Pickworth</v>
      </c>
      <c r="G316" s="2" t="str">
        <f>IF(_xlfn.XLOOKUP(C316,customers!$A$1:$A$1001,customers!$C$1:$C$1001, ,0)=0,"",_xlfn.XLOOKUP(C316,customers!$A$1:$A$1001,customers!$C$1:$C$1001, ,0))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c r="Q316" s="5">
        <f>_xlfn.XLOOKUP(Orders[[#This Row],[Product ID]],products!$A$1:$A$49,products!$G$1:$G$49) *Orders[[#This Row],[Quantity]]</f>
        <v>2.6849999999999996</v>
      </c>
    </row>
    <row r="317" spans="1:17" x14ac:dyDescent="0.25">
      <c r="A317" s="2" t="s">
        <v>2267</v>
      </c>
      <c r="B317" s="3">
        <v>43826</v>
      </c>
      <c r="C317" s="2" t="s">
        <v>2268</v>
      </c>
      <c r="D317" t="s">
        <v>6148</v>
      </c>
      <c r="E317" s="2">
        <v>1</v>
      </c>
      <c r="F317" s="2" t="str">
        <f>_xlfn.XLOOKUP(C317,customers!$A$1:$A$1001,customers!$B$1:$B$1001,,0)</f>
        <v>Melli Brockway</v>
      </c>
      <c r="G317" s="2" t="str">
        <f>IF(_xlfn.XLOOKUP(C317,customers!$A$1:$A$1001,customers!$C$1:$C$1001, ,0)=0,"",_xlfn.XLOOKUP(C317,customers!$A$1:$A$1001,customers!$C$1:$C$1001, ,0))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c r="Q317" s="5">
        <f>_xlfn.XLOOKUP(Orders[[#This Row],[Product ID]],products!$A$1:$A$49,products!$G$1:$G$49) *Orders[[#This Row],[Quantity]]</f>
        <v>3.7570499999999996</v>
      </c>
    </row>
    <row r="318" spans="1:17" x14ac:dyDescent="0.25">
      <c r="A318" s="2" t="s">
        <v>2273</v>
      </c>
      <c r="B318" s="3">
        <v>43641</v>
      </c>
      <c r="C318" s="2" t="s">
        <v>2274</v>
      </c>
      <c r="D318" t="s">
        <v>6148</v>
      </c>
      <c r="E318" s="2">
        <v>6</v>
      </c>
      <c r="F318" s="2" t="str">
        <f>_xlfn.XLOOKUP(C318,customers!$A$1:$A$1001,customers!$B$1:$B$1001,,0)</f>
        <v>Nanny Lush</v>
      </c>
      <c r="G318" s="2" t="str">
        <f>IF(_xlfn.XLOOKUP(C318,customers!$A$1:$A$1001,customers!$C$1:$C$1001, ,0)=0,"",_xlfn.XLOOKUP(C318,customers!$A$1:$A$1001,customers!$C$1:$C$1001, ,0))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c r="Q318" s="5">
        <f>_xlfn.XLOOKUP(Orders[[#This Row],[Product ID]],products!$A$1:$A$49,products!$G$1:$G$49) *Orders[[#This Row],[Quantity]]</f>
        <v>22.542299999999997</v>
      </c>
    </row>
    <row r="319" spans="1:17" x14ac:dyDescent="0.25">
      <c r="A319" s="2" t="s">
        <v>2279</v>
      </c>
      <c r="B319" s="3">
        <v>43526</v>
      </c>
      <c r="C319" s="2" t="s">
        <v>2280</v>
      </c>
      <c r="D319" t="s">
        <v>6144</v>
      </c>
      <c r="E319" s="2">
        <v>3</v>
      </c>
      <c r="F319" s="2" t="str">
        <f>_xlfn.XLOOKUP(C319,customers!$A$1:$A$1001,customers!$B$1:$B$1001,,0)</f>
        <v>Selma McMillian</v>
      </c>
      <c r="G319" s="2" t="str">
        <f>IF(_xlfn.XLOOKUP(C319,customers!$A$1:$A$1001,customers!$C$1:$C$1001, ,0)=0,"",_xlfn.XLOOKUP(C319,customers!$A$1:$A$1001,customers!$C$1:$C$1001, ,0))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c r="Q319" s="5">
        <f>_xlfn.XLOOKUP(Orders[[#This Row],[Product ID]],products!$A$1:$A$49,products!$G$1:$G$49) *Orders[[#This Row],[Quantity]]</f>
        <v>2.4057000000000004</v>
      </c>
    </row>
    <row r="320" spans="1:17" x14ac:dyDescent="0.25">
      <c r="A320" s="2" t="s">
        <v>2285</v>
      </c>
      <c r="B320" s="3">
        <v>44563</v>
      </c>
      <c r="C320" s="2" t="s">
        <v>2286</v>
      </c>
      <c r="D320" t="s">
        <v>6175</v>
      </c>
      <c r="E320" s="2">
        <v>2</v>
      </c>
      <c r="F320" s="2" t="str">
        <f>_xlfn.XLOOKUP(C320,customers!$A$1:$A$1001,customers!$B$1:$B$1001,,0)</f>
        <v>Tess Bennison</v>
      </c>
      <c r="G320" s="2" t="str">
        <f>IF(_xlfn.XLOOKUP(C320,customers!$A$1:$A$1001,customers!$C$1:$C$1001, ,0)=0,"",_xlfn.XLOOKUP(C320,customers!$A$1:$A$1001,customers!$C$1:$C$1001, ,0))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c r="Q320" s="5">
        <f>_xlfn.XLOOKUP(Orders[[#This Row],[Product ID]],products!$A$1:$A$49,products!$G$1:$G$49) *Orders[[#This Row],[Quantity]]</f>
        <v>4.6574999999999989</v>
      </c>
    </row>
    <row r="321" spans="1:17" x14ac:dyDescent="0.25">
      <c r="A321" s="2" t="s">
        <v>2291</v>
      </c>
      <c r="B321" s="3">
        <v>43676</v>
      </c>
      <c r="C321" s="2" t="s">
        <v>2292</v>
      </c>
      <c r="D321" t="s">
        <v>6156</v>
      </c>
      <c r="E321" s="2">
        <v>2</v>
      </c>
      <c r="F321" s="2" t="str">
        <f>_xlfn.XLOOKUP(C321,customers!$A$1:$A$1001,customers!$B$1:$B$1001,,0)</f>
        <v>Gabie Tweed</v>
      </c>
      <c r="G321" s="2" t="str">
        <f>IF(_xlfn.XLOOKUP(C321,customers!$A$1:$A$1001,customers!$C$1:$C$1001, ,0)=0,"",_xlfn.XLOOKUP(C321,customers!$A$1:$A$1001,customers!$C$1:$C$1001, ,0))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c r="Q321" s="5">
        <f>_xlfn.XLOOKUP(Orders[[#This Row],[Product ID]],products!$A$1:$A$49,products!$G$1:$G$49) *Orders[[#This Row],[Quantity]]</f>
        <v>0.90749999999999997</v>
      </c>
    </row>
    <row r="322" spans="1:17" x14ac:dyDescent="0.25">
      <c r="A322" s="2" t="s">
        <v>2291</v>
      </c>
      <c r="B322" s="3">
        <v>43676</v>
      </c>
      <c r="C322" s="2" t="s">
        <v>2292</v>
      </c>
      <c r="D322" t="s">
        <v>6167</v>
      </c>
      <c r="E322" s="2">
        <v>5</v>
      </c>
      <c r="F322" s="2" t="str">
        <f>_xlfn.XLOOKUP(C322,customers!$A$1:$A$1001,customers!$B$1:$B$1001,,0)</f>
        <v>Gabie Tweed</v>
      </c>
      <c r="G322" s="2" t="str">
        <f>IF(_xlfn.XLOOKUP(C322,customers!$A$1:$A$1001,customers!$C$1:$C$1001, ,0)=0,"",_xlfn.XLOOKUP(C322,customers!$A$1:$A$1001,customers!$C$1:$C$1001, ,0))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c r="Q322" s="5">
        <f>_xlfn.XLOOKUP(Orders[[#This Row],[Product ID]],products!$A$1:$A$49,products!$G$1:$G$49) *Orders[[#This Row],[Quantity]]</f>
        <v>1.7482499999999999</v>
      </c>
    </row>
    <row r="323" spans="1:17" x14ac:dyDescent="0.25">
      <c r="A323" s="2" t="s">
        <v>2301</v>
      </c>
      <c r="B323" s="3">
        <v>44170</v>
      </c>
      <c r="C323" s="2" t="s">
        <v>2302</v>
      </c>
      <c r="D323" t="s">
        <v>6152</v>
      </c>
      <c r="E323" s="2">
        <v>6</v>
      </c>
      <c r="F323" s="2" t="str">
        <f>_xlfn.XLOOKUP(C323,customers!$A$1:$A$1001,customers!$B$1:$B$1001,,0)</f>
        <v>Gaile Goggin</v>
      </c>
      <c r="G323" s="2" t="str">
        <f>IF(_xlfn.XLOOKUP(C323,customers!$A$1:$A$1001,customers!$C$1:$C$1001, ,0)=0,"",_xlfn.XLOOKUP(C323,customers!$A$1:$A$1001,customers!$C$1:$C$1001, ,0))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 = "Lib","Liberica"))))</f>
        <v>Arabica</v>
      </c>
      <c r="O323" t="str">
        <f t="shared" ref="O323:O386" si="17">IF(J323="L","Light",IF(J323="M","Medium",IF(J323="D","Dark")))</f>
        <v>Medium</v>
      </c>
      <c r="P323" t="str">
        <f>_xlfn.XLOOKUP(Orders[[#This Row],[Customer ID]],customers!$A$1:$A$1001,customers!$I$1:$I$1001,,0)</f>
        <v>Yes</v>
      </c>
      <c r="Q323" s="5">
        <f>_xlfn.XLOOKUP(Orders[[#This Row],[Product ID]],products!$A$1:$A$49,products!$G$1:$G$49) *Orders[[#This Row],[Quantity]]</f>
        <v>1.8224999999999998</v>
      </c>
    </row>
    <row r="324" spans="1:17" x14ac:dyDescent="0.25">
      <c r="A324" s="2" t="s">
        <v>2307</v>
      </c>
      <c r="B324" s="3">
        <v>44182</v>
      </c>
      <c r="C324" s="2" t="s">
        <v>2308</v>
      </c>
      <c r="D324" t="s">
        <v>6169</v>
      </c>
      <c r="E324" s="2">
        <v>3</v>
      </c>
      <c r="F324" s="2" t="str">
        <f>_xlfn.XLOOKUP(C324,customers!$A$1:$A$1001,customers!$B$1:$B$1001,,0)</f>
        <v>Skylar Jeyness</v>
      </c>
      <c r="G324" s="2" t="str">
        <f>IF(_xlfn.XLOOKUP(C324,customers!$A$1:$A$1001,customers!$C$1:$C$1001, ,0)=0,"",_xlfn.XLOOKUP(C324,customers!$A$1:$A$1001,customers!$C$1:$C$1001, ,0))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c r="Q324" s="5">
        <f>_xlfn.XLOOKUP(Orders[[#This Row],[Product ID]],products!$A$1:$A$49,products!$G$1:$G$49) *Orders[[#This Row],[Quantity]]</f>
        <v>3.0303</v>
      </c>
    </row>
    <row r="325" spans="1:17" x14ac:dyDescent="0.25">
      <c r="A325" s="2" t="s">
        <v>2313</v>
      </c>
      <c r="B325" s="3">
        <v>44373</v>
      </c>
      <c r="C325" s="2" t="s">
        <v>2314</v>
      </c>
      <c r="D325" t="s">
        <v>6153</v>
      </c>
      <c r="E325" s="2">
        <v>5</v>
      </c>
      <c r="F325" s="2" t="str">
        <f>_xlfn.XLOOKUP(C325,customers!$A$1:$A$1001,customers!$B$1:$B$1001,,0)</f>
        <v>Donica Bonhome</v>
      </c>
      <c r="G325" s="2" t="str">
        <f>IF(_xlfn.XLOOKUP(C325,customers!$A$1:$A$1001,customers!$C$1:$C$1001, ,0)=0,"",_xlfn.XLOOKUP(C325,customers!$A$1:$A$1001,customers!$C$1:$C$1001, ,0))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c r="Q325" s="5">
        <f>_xlfn.XLOOKUP(Orders[[#This Row],[Product ID]],products!$A$1:$A$49,products!$G$1:$G$49) *Orders[[#This Row],[Quantity]]</f>
        <v>2.00475</v>
      </c>
    </row>
    <row r="326" spans="1:17" x14ac:dyDescent="0.25">
      <c r="A326" s="2" t="s">
        <v>2319</v>
      </c>
      <c r="B326" s="3">
        <v>43666</v>
      </c>
      <c r="C326" s="2" t="s">
        <v>2320</v>
      </c>
      <c r="D326" t="s">
        <v>6141</v>
      </c>
      <c r="E326" s="2">
        <v>1</v>
      </c>
      <c r="F326" s="2" t="str">
        <f>_xlfn.XLOOKUP(C326,customers!$A$1:$A$1001,customers!$B$1:$B$1001,,0)</f>
        <v>Diena Peetermann</v>
      </c>
      <c r="G326" s="2" t="str">
        <f>IF(_xlfn.XLOOKUP(C326,customers!$A$1:$A$1001,customers!$C$1:$C$1001, ,0)=0,"",_xlfn.XLOOKUP(C326,customers!$A$1:$A$1001,customers!$C$1:$C$1001, ,0))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c r="Q326" s="5">
        <f>_xlfn.XLOOKUP(Orders[[#This Row],[Product ID]],products!$A$1:$A$49,products!$G$1:$G$49) *Orders[[#This Row],[Quantity]]</f>
        <v>1.5125</v>
      </c>
    </row>
    <row r="327" spans="1:17" x14ac:dyDescent="0.25">
      <c r="A327" s="2" t="s">
        <v>2324</v>
      </c>
      <c r="B327" s="3">
        <v>44756</v>
      </c>
      <c r="C327" s="2" t="s">
        <v>2325</v>
      </c>
      <c r="D327" t="s">
        <v>6182</v>
      </c>
      <c r="E327" s="2">
        <v>1</v>
      </c>
      <c r="F327" s="2" t="str">
        <f>_xlfn.XLOOKUP(C327,customers!$A$1:$A$1001,customers!$B$1:$B$1001,,0)</f>
        <v>Trina Le Sarr</v>
      </c>
      <c r="G327" s="2" t="str">
        <f>IF(_xlfn.XLOOKUP(C327,customers!$A$1:$A$1001,customers!$C$1:$C$1001, ,0)=0,"",_xlfn.XLOOKUP(C327,customers!$A$1:$A$1001,customers!$C$1:$C$1001, ,0))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c r="Q327" s="5">
        <f>_xlfn.XLOOKUP(Orders[[#This Row],[Product ID]],products!$A$1:$A$49,products!$G$1:$G$49) *Orders[[#This Row],[Quantity]]</f>
        <v>2.6806499999999995</v>
      </c>
    </row>
    <row r="328" spans="1:17" x14ac:dyDescent="0.25">
      <c r="A328" s="2" t="s">
        <v>2330</v>
      </c>
      <c r="B328" s="3">
        <v>44057</v>
      </c>
      <c r="C328" s="2" t="s">
        <v>2331</v>
      </c>
      <c r="D328" t="s">
        <v>6177</v>
      </c>
      <c r="E328" s="2">
        <v>5</v>
      </c>
      <c r="F328" s="2" t="str">
        <f>_xlfn.XLOOKUP(C328,customers!$A$1:$A$1001,customers!$B$1:$B$1001,,0)</f>
        <v>Flynn Antony</v>
      </c>
      <c r="G328" s="2" t="str">
        <f>IF(_xlfn.XLOOKUP(C328,customers!$A$1:$A$1001,customers!$C$1:$C$1001, ,0)=0,"",_xlfn.XLOOKUP(C328,customers!$A$1:$A$1001,customers!$C$1:$C$1001, ,0))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c r="Q328" s="5">
        <f>_xlfn.XLOOKUP(Orders[[#This Row],[Product ID]],products!$A$1:$A$49,products!$G$1:$G$49) *Orders[[#This Row],[Quantity]]</f>
        <v>2.6849999999999996</v>
      </c>
    </row>
    <row r="329" spans="1:17"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 ,0)=0,"",_xlfn.XLOOKUP(C329,customers!$A$1:$A$1001,customers!$C$1:$C$1001, ,0))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c r="Q329" s="5">
        <f>_xlfn.XLOOKUP(Orders[[#This Row],[Product ID]],products!$A$1:$A$49,products!$G$1:$G$49) *Orders[[#This Row],[Quantity]]</f>
        <v>2.6849999999999996</v>
      </c>
    </row>
    <row r="330" spans="1:17" x14ac:dyDescent="0.25">
      <c r="A330" s="2" t="s">
        <v>2341</v>
      </c>
      <c r="B330" s="3">
        <v>43620</v>
      </c>
      <c r="C330" s="2" t="s">
        <v>2342</v>
      </c>
      <c r="D330" t="s">
        <v>6161</v>
      </c>
      <c r="E330" s="2">
        <v>4</v>
      </c>
      <c r="F330" s="2" t="str">
        <f>_xlfn.XLOOKUP(C330,customers!$A$1:$A$1001,customers!$B$1:$B$1001,,0)</f>
        <v>Homer Dulany</v>
      </c>
      <c r="G330" s="2" t="str">
        <f>IF(_xlfn.XLOOKUP(C330,customers!$A$1:$A$1001,customers!$C$1:$C$1001, ,0)=0,"",_xlfn.XLOOKUP(C330,customers!$A$1:$A$1001,customers!$C$1:$C$1001, ,0))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c r="Q330" s="5">
        <f>_xlfn.XLOOKUP(Orders[[#This Row],[Product ID]],products!$A$1:$A$49,products!$G$1:$G$49) *Orders[[#This Row],[Quantity]]</f>
        <v>4.9451999999999998</v>
      </c>
    </row>
    <row r="331" spans="1:17" x14ac:dyDescent="0.25">
      <c r="A331" s="2" t="s">
        <v>2346</v>
      </c>
      <c r="B331" s="3">
        <v>44781</v>
      </c>
      <c r="C331" s="2" t="s">
        <v>2347</v>
      </c>
      <c r="D331" t="s">
        <v>6172</v>
      </c>
      <c r="E331" s="2">
        <v>4</v>
      </c>
      <c r="F331" s="2" t="str">
        <f>_xlfn.XLOOKUP(C331,customers!$A$1:$A$1001,customers!$B$1:$B$1001,,0)</f>
        <v>Lisa Goodger</v>
      </c>
      <c r="G331" s="2" t="str">
        <f>IF(_xlfn.XLOOKUP(C331,customers!$A$1:$A$1001,customers!$C$1:$C$1001, ,0)=0,"",_xlfn.XLOOKUP(C331,customers!$A$1:$A$1001,customers!$C$1:$C$1001, ,0))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c r="Q331" s="5">
        <f>_xlfn.XLOOKUP(Orders[[#This Row],[Product ID]],products!$A$1:$A$49,products!$G$1:$G$49) *Orders[[#This Row],[Quantity]]</f>
        <v>1.2887999999999997</v>
      </c>
    </row>
    <row r="332" spans="1:17" x14ac:dyDescent="0.25">
      <c r="A332" s="2" t="s">
        <v>2351</v>
      </c>
      <c r="B332" s="3">
        <v>43782</v>
      </c>
      <c r="C332" s="2" t="s">
        <v>2280</v>
      </c>
      <c r="D332" t="s">
        <v>6172</v>
      </c>
      <c r="E332" s="2">
        <v>3</v>
      </c>
      <c r="F332" s="2" t="str">
        <f>_xlfn.XLOOKUP(C332,customers!$A$1:$A$1001,customers!$B$1:$B$1001,,0)</f>
        <v>Selma McMillian</v>
      </c>
      <c r="G332" s="2" t="str">
        <f>IF(_xlfn.XLOOKUP(C332,customers!$A$1:$A$1001,customers!$C$1:$C$1001, ,0)=0,"",_xlfn.XLOOKUP(C332,customers!$A$1:$A$1001,customers!$C$1:$C$1001, ,0))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c r="Q332" s="5">
        <f>_xlfn.XLOOKUP(Orders[[#This Row],[Product ID]],products!$A$1:$A$49,products!$G$1:$G$49) *Orders[[#This Row],[Quantity]]</f>
        <v>0.96659999999999979</v>
      </c>
    </row>
    <row r="333" spans="1:17" x14ac:dyDescent="0.25">
      <c r="A333" s="2" t="s">
        <v>2357</v>
      </c>
      <c r="B333" s="3">
        <v>43989</v>
      </c>
      <c r="C333" s="2" t="s">
        <v>2358</v>
      </c>
      <c r="D333" t="s">
        <v>6151</v>
      </c>
      <c r="E333" s="2">
        <v>1</v>
      </c>
      <c r="F333" s="2" t="str">
        <f>_xlfn.XLOOKUP(C333,customers!$A$1:$A$1001,customers!$B$1:$B$1001,,0)</f>
        <v>Corine Drewett</v>
      </c>
      <c r="G333" s="2" t="str">
        <f>IF(_xlfn.XLOOKUP(C333,customers!$A$1:$A$1001,customers!$C$1:$C$1001, ,0)=0,"",_xlfn.XLOOKUP(C333,customers!$A$1:$A$1001,customers!$C$1:$C$1001, ,0))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c r="Q333" s="5">
        <f>_xlfn.XLOOKUP(Orders[[#This Row],[Product ID]],products!$A$1:$A$49,products!$G$1:$G$49) *Orders[[#This Row],[Quantity]]</f>
        <v>1.3730999999999998</v>
      </c>
    </row>
    <row r="334" spans="1:17" x14ac:dyDescent="0.25">
      <c r="A334" s="2" t="s">
        <v>2363</v>
      </c>
      <c r="B334" s="3">
        <v>43689</v>
      </c>
      <c r="C334" s="2" t="s">
        <v>2364</v>
      </c>
      <c r="D334" t="s">
        <v>6158</v>
      </c>
      <c r="E334" s="2">
        <v>3</v>
      </c>
      <c r="F334" s="2" t="str">
        <f>_xlfn.XLOOKUP(C334,customers!$A$1:$A$1001,customers!$B$1:$B$1001,,0)</f>
        <v>Quinn Parsons</v>
      </c>
      <c r="G334" s="2" t="str">
        <f>IF(_xlfn.XLOOKUP(C334,customers!$A$1:$A$1001,customers!$C$1:$C$1001, ,0)=0,"",_xlfn.XLOOKUP(C334,customers!$A$1:$A$1001,customers!$C$1:$C$1001, ,0))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c r="Q334" s="5">
        <f>_xlfn.XLOOKUP(Orders[[#This Row],[Product ID]],products!$A$1:$A$49,products!$G$1:$G$49) *Orders[[#This Row],[Quantity]]</f>
        <v>1.6118999999999999</v>
      </c>
    </row>
    <row r="335" spans="1:17" x14ac:dyDescent="0.25">
      <c r="A335" s="2" t="s">
        <v>2369</v>
      </c>
      <c r="B335" s="3">
        <v>43712</v>
      </c>
      <c r="C335" s="2" t="s">
        <v>2370</v>
      </c>
      <c r="D335" t="s">
        <v>6146</v>
      </c>
      <c r="E335" s="2">
        <v>4</v>
      </c>
      <c r="F335" s="2" t="str">
        <f>_xlfn.XLOOKUP(C335,customers!$A$1:$A$1001,customers!$B$1:$B$1001,,0)</f>
        <v>Vivyan Ceely</v>
      </c>
      <c r="G335" s="2" t="str">
        <f>IF(_xlfn.XLOOKUP(C335,customers!$A$1:$A$1001,customers!$C$1:$C$1001, ,0)=0,"",_xlfn.XLOOKUP(C335,customers!$A$1:$A$1001,customers!$C$1:$C$1001, ,0))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c r="Q335" s="5">
        <f>_xlfn.XLOOKUP(Orders[[#This Row],[Product ID]],products!$A$1:$A$49,products!$G$1:$G$49) *Orders[[#This Row],[Quantity]]</f>
        <v>1.4327999999999999</v>
      </c>
    </row>
    <row r="336" spans="1:17" x14ac:dyDescent="0.25">
      <c r="A336" s="2" t="s">
        <v>2375</v>
      </c>
      <c r="B336" s="3">
        <v>43742</v>
      </c>
      <c r="C336" s="2" t="s">
        <v>2376</v>
      </c>
      <c r="D336" t="s">
        <v>6179</v>
      </c>
      <c r="E336" s="2">
        <v>5</v>
      </c>
      <c r="F336" s="2" t="str">
        <f>_xlfn.XLOOKUP(C336,customers!$A$1:$A$1001,customers!$B$1:$B$1001,,0)</f>
        <v>Elonore Goodings</v>
      </c>
      <c r="G336" s="2" t="str">
        <f>IF(_xlfn.XLOOKUP(C336,customers!$A$1:$A$1001,customers!$C$1:$C$1001, ,0)=0,"",_xlfn.XLOOKUP(C336,customers!$A$1:$A$1001,customers!$C$1:$C$1001, ,0))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c r="Q336" s="5">
        <f>_xlfn.XLOOKUP(Orders[[#This Row],[Product ID]],products!$A$1:$A$49,products!$G$1:$G$49) *Orders[[#This Row],[Quantity]]</f>
        <v>3.585</v>
      </c>
    </row>
    <row r="337" spans="1:17" x14ac:dyDescent="0.25">
      <c r="A337" s="2" t="s">
        <v>2379</v>
      </c>
      <c r="B337" s="3">
        <v>43885</v>
      </c>
      <c r="C337" s="2" t="s">
        <v>2380</v>
      </c>
      <c r="D337" t="s">
        <v>6145</v>
      </c>
      <c r="E337" s="2">
        <v>6</v>
      </c>
      <c r="F337" s="2" t="str">
        <f>_xlfn.XLOOKUP(C337,customers!$A$1:$A$1001,customers!$B$1:$B$1001,,0)</f>
        <v>Clement Vasiliev</v>
      </c>
      <c r="G337" s="2" t="str">
        <f>IF(_xlfn.XLOOKUP(C337,customers!$A$1:$A$1001,customers!$C$1:$C$1001, ,0)=0,"",_xlfn.XLOOKUP(C337,customers!$A$1:$A$1001,customers!$C$1:$C$1001, ,0))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c r="Q337" s="5">
        <f>_xlfn.XLOOKUP(Orders[[#This Row],[Product ID]],products!$A$1:$A$49,products!$G$1:$G$49) *Orders[[#This Row],[Quantity]]</f>
        <v>3.7088999999999999</v>
      </c>
    </row>
    <row r="338" spans="1:17" x14ac:dyDescent="0.25">
      <c r="A338" s="2" t="s">
        <v>2385</v>
      </c>
      <c r="B338" s="3">
        <v>44434</v>
      </c>
      <c r="C338" s="2" t="s">
        <v>2386</v>
      </c>
      <c r="D338" t="s">
        <v>6155</v>
      </c>
      <c r="E338" s="2">
        <v>4</v>
      </c>
      <c r="F338" s="2" t="str">
        <f>_xlfn.XLOOKUP(C338,customers!$A$1:$A$1001,customers!$B$1:$B$1001,,0)</f>
        <v>Terencio O'Moylan</v>
      </c>
      <c r="G338" s="2" t="str">
        <f>IF(_xlfn.XLOOKUP(C338,customers!$A$1:$A$1001,customers!$C$1:$C$1001, ,0)=0,"",_xlfn.XLOOKUP(C338,customers!$A$1:$A$1001,customers!$C$1:$C$1001, ,0))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c r="Q338" s="5">
        <f>_xlfn.XLOOKUP(Orders[[#This Row],[Product ID]],products!$A$1:$A$49,products!$G$1:$G$49) *Orders[[#This Row],[Quantity]]</f>
        <v>4.05</v>
      </c>
    </row>
    <row r="339" spans="1:17" x14ac:dyDescent="0.25">
      <c r="A339" s="2" t="s">
        <v>2391</v>
      </c>
      <c r="B339" s="3">
        <v>44472</v>
      </c>
      <c r="C339" s="2" t="s">
        <v>2331</v>
      </c>
      <c r="D339" t="s">
        <v>6185</v>
      </c>
      <c r="E339" s="2">
        <v>2</v>
      </c>
      <c r="F339" s="2" t="str">
        <f>_xlfn.XLOOKUP(C339,customers!$A$1:$A$1001,customers!$B$1:$B$1001,,0)</f>
        <v>Flynn Antony</v>
      </c>
      <c r="G339" s="2" t="str">
        <f>IF(_xlfn.XLOOKUP(C339,customers!$A$1:$A$1001,customers!$C$1:$C$1001, ,0)=0,"",_xlfn.XLOOKUP(C339,customers!$A$1:$A$1001,customers!$C$1:$C$1001, ,0))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c r="Q339" s="5">
        <f>_xlfn.XLOOKUP(Orders[[#This Row],[Product ID]],products!$A$1:$A$49,products!$G$1:$G$49) *Orders[[#This Row],[Quantity]]</f>
        <v>6.1478999999999999</v>
      </c>
    </row>
    <row r="340" spans="1:17"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 ,0)=0,"",_xlfn.XLOOKUP(C340,customers!$A$1:$A$1001,customers!$C$1:$C$1001, ,0))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c r="Q340" s="5">
        <f>_xlfn.XLOOKUP(Orders[[#This Row],[Product ID]],products!$A$1:$A$49,products!$G$1:$G$49) *Orders[[#This Row],[Quantity]]</f>
        <v>6.5339999999999998</v>
      </c>
    </row>
    <row r="341" spans="1:17" x14ac:dyDescent="0.25">
      <c r="A341" s="2" t="s">
        <v>2402</v>
      </c>
      <c r="B341" s="3">
        <v>44256</v>
      </c>
      <c r="C341" s="2" t="s">
        <v>2403</v>
      </c>
      <c r="D341" t="s">
        <v>6153</v>
      </c>
      <c r="E341" s="2">
        <v>2</v>
      </c>
      <c r="F341" s="2" t="str">
        <f>_xlfn.XLOOKUP(C341,customers!$A$1:$A$1001,customers!$B$1:$B$1001,,0)</f>
        <v>Emmaline Rasmus</v>
      </c>
      <c r="G341" s="2" t="str">
        <f>IF(_xlfn.XLOOKUP(C341,customers!$A$1:$A$1001,customers!$C$1:$C$1001, ,0)=0,"",_xlfn.XLOOKUP(C341,customers!$A$1:$A$1001,customers!$C$1:$C$1001, ,0))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c r="Q341" s="5">
        <f>_xlfn.XLOOKUP(Orders[[#This Row],[Product ID]],products!$A$1:$A$49,products!$G$1:$G$49) *Orders[[#This Row],[Quantity]]</f>
        <v>0.80190000000000006</v>
      </c>
    </row>
    <row r="342" spans="1:17" x14ac:dyDescent="0.25">
      <c r="A342" s="2" t="s">
        <v>2408</v>
      </c>
      <c r="B342" s="3">
        <v>43528</v>
      </c>
      <c r="C342" s="2" t="s">
        <v>2409</v>
      </c>
      <c r="D342" t="s">
        <v>6144</v>
      </c>
      <c r="E342" s="2">
        <v>1</v>
      </c>
      <c r="F342" s="2" t="str">
        <f>_xlfn.XLOOKUP(C342,customers!$A$1:$A$1001,customers!$B$1:$B$1001,,0)</f>
        <v>Wesley Giorgioni</v>
      </c>
      <c r="G342" s="2" t="str">
        <f>IF(_xlfn.XLOOKUP(C342,customers!$A$1:$A$1001,customers!$C$1:$C$1001, ,0)=0,"",_xlfn.XLOOKUP(C342,customers!$A$1:$A$1001,customers!$C$1:$C$1001, ,0))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c r="Q342" s="5">
        <f>_xlfn.XLOOKUP(Orders[[#This Row],[Product ID]],products!$A$1:$A$49,products!$G$1:$G$49) *Orders[[#This Row],[Quantity]]</f>
        <v>0.80190000000000006</v>
      </c>
    </row>
    <row r="343" spans="1:17" x14ac:dyDescent="0.25">
      <c r="A343" s="2" t="s">
        <v>2414</v>
      </c>
      <c r="B343" s="3">
        <v>43751</v>
      </c>
      <c r="C343" s="2" t="s">
        <v>2415</v>
      </c>
      <c r="D343" t="s">
        <v>6176</v>
      </c>
      <c r="E343" s="2">
        <v>2</v>
      </c>
      <c r="F343" s="2" t="str">
        <f>_xlfn.XLOOKUP(C343,customers!$A$1:$A$1001,customers!$B$1:$B$1001,,0)</f>
        <v>Lucienne Scargle</v>
      </c>
      <c r="G343" s="2" t="str">
        <f>IF(_xlfn.XLOOKUP(C343,customers!$A$1:$A$1001,customers!$C$1:$C$1001, ,0)=0,"",_xlfn.XLOOKUP(C343,customers!$A$1:$A$1001,customers!$C$1:$C$1001, ,0))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c r="Q343" s="5">
        <f>_xlfn.XLOOKUP(Orders[[#This Row],[Product ID]],products!$A$1:$A$49,products!$G$1:$G$49) *Orders[[#This Row],[Quantity]]</f>
        <v>1.9601999999999999</v>
      </c>
    </row>
    <row r="344" spans="1:17" x14ac:dyDescent="0.25">
      <c r="A344" s="2" t="s">
        <v>2414</v>
      </c>
      <c r="B344" s="3">
        <v>43751</v>
      </c>
      <c r="C344" s="2" t="s">
        <v>2415</v>
      </c>
      <c r="D344" t="s">
        <v>6169</v>
      </c>
      <c r="E344" s="2">
        <v>5</v>
      </c>
      <c r="F344" s="2" t="str">
        <f>_xlfn.XLOOKUP(C344,customers!$A$1:$A$1001,customers!$B$1:$B$1001,,0)</f>
        <v>Lucienne Scargle</v>
      </c>
      <c r="G344" s="2" t="str">
        <f>IF(_xlfn.XLOOKUP(C344,customers!$A$1:$A$1001,customers!$C$1:$C$1001, ,0)=0,"",_xlfn.XLOOKUP(C344,customers!$A$1:$A$1001,customers!$C$1:$C$1001, ,0))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c r="Q344" s="5">
        <f>_xlfn.XLOOKUP(Orders[[#This Row],[Product ID]],products!$A$1:$A$49,products!$G$1:$G$49) *Orders[[#This Row],[Quantity]]</f>
        <v>5.0504999999999995</v>
      </c>
    </row>
    <row r="345" spans="1:17" x14ac:dyDescent="0.25">
      <c r="A345" s="2" t="s">
        <v>2424</v>
      </c>
      <c r="B345" s="3">
        <v>43692</v>
      </c>
      <c r="C345" s="2" t="s">
        <v>2425</v>
      </c>
      <c r="D345" t="s">
        <v>6172</v>
      </c>
      <c r="E345" s="2">
        <v>6</v>
      </c>
      <c r="F345" s="2" t="str">
        <f>_xlfn.XLOOKUP(C345,customers!$A$1:$A$1001,customers!$B$1:$B$1001,,0)</f>
        <v>Noam Climance</v>
      </c>
      <c r="G345" s="2" t="str">
        <f>IF(_xlfn.XLOOKUP(C345,customers!$A$1:$A$1001,customers!$C$1:$C$1001, ,0)=0,"",_xlfn.XLOOKUP(C345,customers!$A$1:$A$1001,customers!$C$1:$C$1001, ,0))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c r="Q345" s="5">
        <f>_xlfn.XLOOKUP(Orders[[#This Row],[Product ID]],products!$A$1:$A$49,products!$G$1:$G$49) *Orders[[#This Row],[Quantity]]</f>
        <v>1.9331999999999996</v>
      </c>
    </row>
    <row r="346" spans="1:17" x14ac:dyDescent="0.25">
      <c r="A346" s="2" t="s">
        <v>2429</v>
      </c>
      <c r="B346" s="3">
        <v>44529</v>
      </c>
      <c r="C346" s="2" t="s">
        <v>2430</v>
      </c>
      <c r="D346" t="s">
        <v>6138</v>
      </c>
      <c r="E346" s="2">
        <v>2</v>
      </c>
      <c r="F346" s="2" t="str">
        <f>_xlfn.XLOOKUP(C346,customers!$A$1:$A$1001,customers!$B$1:$B$1001,,0)</f>
        <v>Catarina Donn</v>
      </c>
      <c r="G346" s="2" t="str">
        <f>IF(_xlfn.XLOOKUP(C346,customers!$A$1:$A$1001,customers!$C$1:$C$1001, ,0)=0,"",_xlfn.XLOOKUP(C346,customers!$A$1:$A$1001,customers!$C$1:$C$1001, ,0))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c r="Q346" s="5">
        <f>_xlfn.XLOOKUP(Orders[[#This Row],[Product ID]],products!$A$1:$A$49,products!$G$1:$G$49) *Orders[[#This Row],[Quantity]]</f>
        <v>1.194</v>
      </c>
    </row>
    <row r="347" spans="1:17" x14ac:dyDescent="0.25">
      <c r="A347" s="2" t="s">
        <v>2434</v>
      </c>
      <c r="B347" s="3">
        <v>43849</v>
      </c>
      <c r="C347" s="2" t="s">
        <v>2435</v>
      </c>
      <c r="D347" t="s">
        <v>6179</v>
      </c>
      <c r="E347" s="2">
        <v>5</v>
      </c>
      <c r="F347" s="2" t="str">
        <f>_xlfn.XLOOKUP(C347,customers!$A$1:$A$1001,customers!$B$1:$B$1001,,0)</f>
        <v>Ameline Snazle</v>
      </c>
      <c r="G347" s="2" t="str">
        <f>IF(_xlfn.XLOOKUP(C347,customers!$A$1:$A$1001,customers!$C$1:$C$1001, ,0)=0,"",_xlfn.XLOOKUP(C347,customers!$A$1:$A$1001,customers!$C$1:$C$1001, ,0))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c r="Q347" s="5">
        <f>_xlfn.XLOOKUP(Orders[[#This Row],[Product ID]],products!$A$1:$A$49,products!$G$1:$G$49) *Orders[[#This Row],[Quantity]]</f>
        <v>3.585</v>
      </c>
    </row>
    <row r="348" spans="1:17" x14ac:dyDescent="0.25">
      <c r="A348" s="2" t="s">
        <v>2440</v>
      </c>
      <c r="B348" s="3">
        <v>44344</v>
      </c>
      <c r="C348" s="2" t="s">
        <v>2441</v>
      </c>
      <c r="D348" t="s">
        <v>6180</v>
      </c>
      <c r="E348" s="2">
        <v>3</v>
      </c>
      <c r="F348" s="2" t="str">
        <f>_xlfn.XLOOKUP(C348,customers!$A$1:$A$1001,customers!$B$1:$B$1001,,0)</f>
        <v>Rebeka Worg</v>
      </c>
      <c r="G348" s="2" t="str">
        <f>IF(_xlfn.XLOOKUP(C348,customers!$A$1:$A$1001,customers!$C$1:$C$1001, ,0)=0,"",_xlfn.XLOOKUP(C348,customers!$A$1:$A$1001,customers!$C$1:$C$1001, ,0))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c r="Q348" s="5">
        <f>_xlfn.XLOOKUP(Orders[[#This Row],[Product ID]],products!$A$1:$A$49,products!$G$1:$G$49) *Orders[[#This Row],[Quantity]]</f>
        <v>2.0978999999999997</v>
      </c>
    </row>
    <row r="349" spans="1:17" x14ac:dyDescent="0.25">
      <c r="A349" s="2" t="s">
        <v>2446</v>
      </c>
      <c r="B349" s="3">
        <v>44576</v>
      </c>
      <c r="C349" s="2" t="s">
        <v>2447</v>
      </c>
      <c r="D349" t="s">
        <v>6162</v>
      </c>
      <c r="E349" s="2">
        <v>3</v>
      </c>
      <c r="F349" s="2" t="str">
        <f>_xlfn.XLOOKUP(C349,customers!$A$1:$A$1001,customers!$B$1:$B$1001,,0)</f>
        <v>Lewes Danes</v>
      </c>
      <c r="G349" s="2" t="str">
        <f>IF(_xlfn.XLOOKUP(C349,customers!$A$1:$A$1001,customers!$C$1:$C$1001, ,0)=0,"",_xlfn.XLOOKUP(C349,customers!$A$1:$A$1001,customers!$C$1:$C$1001, ,0))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c r="Q349" s="5">
        <f>_xlfn.XLOOKUP(Orders[[#This Row],[Product ID]],products!$A$1:$A$49,products!$G$1:$G$49) *Orders[[#This Row],[Quantity]]</f>
        <v>5.6745000000000001</v>
      </c>
    </row>
    <row r="350" spans="1:17" x14ac:dyDescent="0.25">
      <c r="A350" s="2" t="s">
        <v>2452</v>
      </c>
      <c r="B350" s="3">
        <v>43803</v>
      </c>
      <c r="C350" s="2" t="s">
        <v>2453</v>
      </c>
      <c r="D350" t="s">
        <v>6148</v>
      </c>
      <c r="E350" s="2">
        <v>6</v>
      </c>
      <c r="F350" s="2" t="str">
        <f>_xlfn.XLOOKUP(C350,customers!$A$1:$A$1001,customers!$B$1:$B$1001,,0)</f>
        <v>Shelli Keynd</v>
      </c>
      <c r="G350" s="2" t="str">
        <f>IF(_xlfn.XLOOKUP(C350,customers!$A$1:$A$1001,customers!$C$1:$C$1001, ,0)=0,"",_xlfn.XLOOKUP(C350,customers!$A$1:$A$1001,customers!$C$1:$C$1001, ,0))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c r="Q350" s="5">
        <f>_xlfn.XLOOKUP(Orders[[#This Row],[Product ID]],products!$A$1:$A$49,products!$G$1:$G$49) *Orders[[#This Row],[Quantity]]</f>
        <v>22.542299999999997</v>
      </c>
    </row>
    <row r="351" spans="1:17" x14ac:dyDescent="0.25">
      <c r="A351" s="2" t="s">
        <v>2458</v>
      </c>
      <c r="B351" s="3">
        <v>44743</v>
      </c>
      <c r="C351" s="2" t="s">
        <v>2459</v>
      </c>
      <c r="D351" t="s">
        <v>6178</v>
      </c>
      <c r="E351" s="2">
        <v>4</v>
      </c>
      <c r="F351" s="2" t="str">
        <f>_xlfn.XLOOKUP(C351,customers!$A$1:$A$1001,customers!$B$1:$B$1001,,0)</f>
        <v>Dell Daveridge</v>
      </c>
      <c r="G351" s="2" t="str">
        <f>IF(_xlfn.XLOOKUP(C351,customers!$A$1:$A$1001,customers!$C$1:$C$1001, ,0)=0,"",_xlfn.XLOOKUP(C351,customers!$A$1:$A$1001,customers!$C$1:$C$1001, ,0))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c r="Q351" s="5">
        <f>_xlfn.XLOOKUP(Orders[[#This Row],[Product ID]],products!$A$1:$A$49,products!$G$1:$G$49) *Orders[[#This Row],[Quantity]]</f>
        <v>0.86039999999999983</v>
      </c>
    </row>
    <row r="352" spans="1:17" x14ac:dyDescent="0.25">
      <c r="A352" s="2" t="s">
        <v>2464</v>
      </c>
      <c r="B352" s="3">
        <v>43592</v>
      </c>
      <c r="C352" s="2" t="s">
        <v>2465</v>
      </c>
      <c r="D352" t="s">
        <v>6158</v>
      </c>
      <c r="E352" s="2">
        <v>4</v>
      </c>
      <c r="F352" s="2" t="str">
        <f>_xlfn.XLOOKUP(C352,customers!$A$1:$A$1001,customers!$B$1:$B$1001,,0)</f>
        <v>Joshuah Awdry</v>
      </c>
      <c r="G352" s="2" t="str">
        <f>IF(_xlfn.XLOOKUP(C352,customers!$A$1:$A$1001,customers!$C$1:$C$1001, ,0)=0,"",_xlfn.XLOOKUP(C352,customers!$A$1:$A$1001,customers!$C$1:$C$1001, ,0))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c r="Q352" s="5">
        <f>_xlfn.XLOOKUP(Orders[[#This Row],[Product ID]],products!$A$1:$A$49,products!$G$1:$G$49) *Orders[[#This Row],[Quantity]]</f>
        <v>2.1492</v>
      </c>
    </row>
    <row r="353" spans="1:17" x14ac:dyDescent="0.25">
      <c r="A353" s="2" t="s">
        <v>2470</v>
      </c>
      <c r="B353" s="3">
        <v>44066</v>
      </c>
      <c r="C353" s="2" t="s">
        <v>2471</v>
      </c>
      <c r="D353" t="s">
        <v>6155</v>
      </c>
      <c r="E353" s="2">
        <v>2</v>
      </c>
      <c r="F353" s="2" t="str">
        <f>_xlfn.XLOOKUP(C353,customers!$A$1:$A$1001,customers!$B$1:$B$1001,,0)</f>
        <v>Ethel Ryles</v>
      </c>
      <c r="G353" s="2" t="str">
        <f>IF(_xlfn.XLOOKUP(C353,customers!$A$1:$A$1001,customers!$C$1:$C$1001, ,0)=0,"",_xlfn.XLOOKUP(C353,customers!$A$1:$A$1001,customers!$C$1:$C$1001, ,0))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c r="Q353" s="5">
        <f>_xlfn.XLOOKUP(Orders[[#This Row],[Product ID]],products!$A$1:$A$49,products!$G$1:$G$49) *Orders[[#This Row],[Quantity]]</f>
        <v>2.0249999999999999</v>
      </c>
    </row>
    <row r="354" spans="1:17" x14ac:dyDescent="0.25">
      <c r="A354" s="2" t="s">
        <v>2476</v>
      </c>
      <c r="B354" s="3">
        <v>43984</v>
      </c>
      <c r="C354" s="2" t="s">
        <v>2331</v>
      </c>
      <c r="D354" t="s">
        <v>6144</v>
      </c>
      <c r="E354" s="2">
        <v>5</v>
      </c>
      <c r="F354" s="2" t="str">
        <f>_xlfn.XLOOKUP(C354,customers!$A$1:$A$1001,customers!$B$1:$B$1001,,0)</f>
        <v>Flynn Antony</v>
      </c>
      <c r="G354" s="2" t="str">
        <f>IF(_xlfn.XLOOKUP(C354,customers!$A$1:$A$1001,customers!$C$1:$C$1001, ,0)=0,"",_xlfn.XLOOKUP(C354,customers!$A$1:$A$1001,customers!$C$1:$C$1001, ,0))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c r="Q354" s="5">
        <f>_xlfn.XLOOKUP(Orders[[#This Row],[Product ID]],products!$A$1:$A$49,products!$G$1:$G$49) *Orders[[#This Row],[Quantity]]</f>
        <v>4.0095000000000001</v>
      </c>
    </row>
    <row r="355" spans="1:17" x14ac:dyDescent="0.25">
      <c r="A355" s="2" t="s">
        <v>2482</v>
      </c>
      <c r="B355" s="3">
        <v>43860</v>
      </c>
      <c r="C355" s="2" t="s">
        <v>2483</v>
      </c>
      <c r="D355" t="s">
        <v>6157</v>
      </c>
      <c r="E355" s="2">
        <v>4</v>
      </c>
      <c r="F355" s="2" t="str">
        <f>_xlfn.XLOOKUP(C355,customers!$A$1:$A$1001,customers!$B$1:$B$1001,,0)</f>
        <v>Maitilde Boxill</v>
      </c>
      <c r="G355" s="2" t="str">
        <f>IF(_xlfn.XLOOKUP(C355,customers!$A$1:$A$1001,customers!$C$1:$C$1001, ,0)=0,"",_xlfn.XLOOKUP(C355,customers!$A$1:$A$1001,customers!$C$1:$C$1001, ,0))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c r="Q355" s="5">
        <f>_xlfn.XLOOKUP(Orders[[#This Row],[Product ID]],products!$A$1:$A$49,products!$G$1:$G$49) *Orders[[#This Row],[Quantity]]</f>
        <v>2.4299999999999997</v>
      </c>
    </row>
    <row r="356" spans="1:17" x14ac:dyDescent="0.25">
      <c r="A356" s="2" t="s">
        <v>2487</v>
      </c>
      <c r="B356" s="3">
        <v>43876</v>
      </c>
      <c r="C356" s="2" t="s">
        <v>2488</v>
      </c>
      <c r="D356" t="s">
        <v>6175</v>
      </c>
      <c r="E356" s="2">
        <v>6</v>
      </c>
      <c r="F356" s="2" t="str">
        <f>_xlfn.XLOOKUP(C356,customers!$A$1:$A$1001,customers!$B$1:$B$1001,,0)</f>
        <v>Jodee Caldicott</v>
      </c>
      <c r="G356" s="2" t="str">
        <f>IF(_xlfn.XLOOKUP(C356,customers!$A$1:$A$1001,customers!$C$1:$C$1001, ,0)=0,"",_xlfn.XLOOKUP(C356,customers!$A$1:$A$1001,customers!$C$1:$C$1001, ,0))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c r="Q356" s="5">
        <f>_xlfn.XLOOKUP(Orders[[#This Row],[Product ID]],products!$A$1:$A$49,products!$G$1:$G$49) *Orders[[#This Row],[Quantity]]</f>
        <v>13.972499999999997</v>
      </c>
    </row>
    <row r="357" spans="1:17" x14ac:dyDescent="0.25">
      <c r="A357" s="2" t="s">
        <v>2492</v>
      </c>
      <c r="B357" s="3">
        <v>44358</v>
      </c>
      <c r="C357" s="2" t="s">
        <v>2493</v>
      </c>
      <c r="D357" t="s">
        <v>6168</v>
      </c>
      <c r="E357" s="2">
        <v>5</v>
      </c>
      <c r="F357" s="2" t="str">
        <f>_xlfn.XLOOKUP(C357,customers!$A$1:$A$1001,customers!$B$1:$B$1001,,0)</f>
        <v>Marianna Vedmore</v>
      </c>
      <c r="G357" s="2" t="str">
        <f>IF(_xlfn.XLOOKUP(C357,customers!$A$1:$A$1001,customers!$C$1:$C$1001, ,0)=0,"",_xlfn.XLOOKUP(C357,customers!$A$1:$A$1001,customers!$C$1:$C$1001, ,0))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c r="Q357" s="5">
        <f>_xlfn.XLOOKUP(Orders[[#This Row],[Product ID]],products!$A$1:$A$49,products!$G$1:$G$49) *Orders[[#This Row],[Quantity]]</f>
        <v>10.298249999999998</v>
      </c>
    </row>
    <row r="358" spans="1:17" x14ac:dyDescent="0.25">
      <c r="A358" s="2" t="s">
        <v>2498</v>
      </c>
      <c r="B358" s="3">
        <v>44631</v>
      </c>
      <c r="C358" s="2" t="s">
        <v>2499</v>
      </c>
      <c r="D358" t="s">
        <v>6143</v>
      </c>
      <c r="E358" s="2">
        <v>4</v>
      </c>
      <c r="F358" s="2" t="str">
        <f>_xlfn.XLOOKUP(C358,customers!$A$1:$A$1001,customers!$B$1:$B$1001,,0)</f>
        <v>Willey Romao</v>
      </c>
      <c r="G358" s="2" t="str">
        <f>IF(_xlfn.XLOOKUP(C358,customers!$A$1:$A$1001,customers!$C$1:$C$1001, ,0)=0,"",_xlfn.XLOOKUP(C358,customers!$A$1:$A$1001,customers!$C$1:$C$1001, ,0))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c r="Q358" s="5">
        <f>_xlfn.XLOOKUP(Orders[[#This Row],[Product ID]],products!$A$1:$A$49,products!$G$1:$G$49) *Orders[[#This Row],[Quantity]]</f>
        <v>6.734</v>
      </c>
    </row>
    <row r="359" spans="1:17" x14ac:dyDescent="0.25">
      <c r="A359" s="2" t="s">
        <v>2504</v>
      </c>
      <c r="B359" s="3">
        <v>44448</v>
      </c>
      <c r="C359" s="2" t="s">
        <v>2505</v>
      </c>
      <c r="D359" t="s">
        <v>6175</v>
      </c>
      <c r="E359" s="2">
        <v>6</v>
      </c>
      <c r="F359" s="2" t="str">
        <f>_xlfn.XLOOKUP(C359,customers!$A$1:$A$1001,customers!$B$1:$B$1001,,0)</f>
        <v>Enriqueta Ixor</v>
      </c>
      <c r="G359" s="2" t="str">
        <f>IF(_xlfn.XLOOKUP(C359,customers!$A$1:$A$1001,customers!$C$1:$C$1001, ,0)=0,"",_xlfn.XLOOKUP(C359,customers!$A$1:$A$1001,customers!$C$1:$C$1001, ,0))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c r="Q359" s="5">
        <f>_xlfn.XLOOKUP(Orders[[#This Row],[Product ID]],products!$A$1:$A$49,products!$G$1:$G$49) *Orders[[#This Row],[Quantity]]</f>
        <v>13.972499999999997</v>
      </c>
    </row>
    <row r="360" spans="1:17" x14ac:dyDescent="0.25">
      <c r="A360" s="2" t="s">
        <v>2509</v>
      </c>
      <c r="B360" s="3">
        <v>43599</v>
      </c>
      <c r="C360" s="2" t="s">
        <v>2510</v>
      </c>
      <c r="D360" t="s">
        <v>6182</v>
      </c>
      <c r="E360" s="2">
        <v>1</v>
      </c>
      <c r="F360" s="2" t="str">
        <f>_xlfn.XLOOKUP(C360,customers!$A$1:$A$1001,customers!$B$1:$B$1001,,0)</f>
        <v>Tomasina Cotmore</v>
      </c>
      <c r="G360" s="2" t="str">
        <f>IF(_xlfn.XLOOKUP(C360,customers!$A$1:$A$1001,customers!$C$1:$C$1001, ,0)=0,"",_xlfn.XLOOKUP(C360,customers!$A$1:$A$1001,customers!$C$1:$C$1001, ,0))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c r="Q360" s="5">
        <f>_xlfn.XLOOKUP(Orders[[#This Row],[Product ID]],products!$A$1:$A$49,products!$G$1:$G$49) *Orders[[#This Row],[Quantity]]</f>
        <v>2.6806499999999995</v>
      </c>
    </row>
    <row r="361" spans="1:17" x14ac:dyDescent="0.25">
      <c r="A361" s="2" t="s">
        <v>2515</v>
      </c>
      <c r="B361" s="3">
        <v>43563</v>
      </c>
      <c r="C361" s="2" t="s">
        <v>2516</v>
      </c>
      <c r="D361" t="s">
        <v>6178</v>
      </c>
      <c r="E361" s="2">
        <v>6</v>
      </c>
      <c r="F361" s="2" t="str">
        <f>_xlfn.XLOOKUP(C361,customers!$A$1:$A$1001,customers!$B$1:$B$1001,,0)</f>
        <v>Yuma Skipsey</v>
      </c>
      <c r="G361" s="2" t="str">
        <f>IF(_xlfn.XLOOKUP(C361,customers!$A$1:$A$1001,customers!$C$1:$C$1001, ,0)=0,"",_xlfn.XLOOKUP(C361,customers!$A$1:$A$1001,customers!$C$1:$C$1001, ,0))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c r="Q361" s="5">
        <f>_xlfn.XLOOKUP(Orders[[#This Row],[Product ID]],products!$A$1:$A$49,products!$G$1:$G$49) *Orders[[#This Row],[Quantity]]</f>
        <v>1.2905999999999997</v>
      </c>
    </row>
    <row r="362" spans="1:17" x14ac:dyDescent="0.25">
      <c r="A362" s="2" t="s">
        <v>2521</v>
      </c>
      <c r="B362" s="3">
        <v>44058</v>
      </c>
      <c r="C362" s="2" t="s">
        <v>2522</v>
      </c>
      <c r="D362" t="s">
        <v>6149</v>
      </c>
      <c r="E362" s="2">
        <v>2</v>
      </c>
      <c r="F362" s="2" t="str">
        <f>_xlfn.XLOOKUP(C362,customers!$A$1:$A$1001,customers!$B$1:$B$1001,,0)</f>
        <v>Nicko Corps</v>
      </c>
      <c r="G362" s="2" t="str">
        <f>IF(_xlfn.XLOOKUP(C362,customers!$A$1:$A$1001,customers!$C$1:$C$1001, ,0)=0,"",_xlfn.XLOOKUP(C362,customers!$A$1:$A$1001,customers!$C$1:$C$1001, ,0))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c r="Q362" s="5">
        <f>_xlfn.XLOOKUP(Orders[[#This Row],[Product ID]],products!$A$1:$A$49,products!$G$1:$G$49) *Orders[[#This Row],[Quantity]]</f>
        <v>2.4701999999999997</v>
      </c>
    </row>
    <row r="363" spans="1:17" x14ac:dyDescent="0.25">
      <c r="A363" s="2" t="s">
        <v>2521</v>
      </c>
      <c r="B363" s="3">
        <v>44058</v>
      </c>
      <c r="C363" s="2" t="s">
        <v>2522</v>
      </c>
      <c r="D363" t="s">
        <v>6146</v>
      </c>
      <c r="E363" s="2">
        <v>1</v>
      </c>
      <c r="F363" s="2" t="str">
        <f>_xlfn.XLOOKUP(C363,customers!$A$1:$A$1001,customers!$B$1:$B$1001,,0)</f>
        <v>Nicko Corps</v>
      </c>
      <c r="G363" s="2" t="str">
        <f>IF(_xlfn.XLOOKUP(C363,customers!$A$1:$A$1001,customers!$C$1:$C$1001, ,0)=0,"",_xlfn.XLOOKUP(C363,customers!$A$1:$A$1001,customers!$C$1:$C$1001, ,0))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c r="Q363" s="5">
        <f>_xlfn.XLOOKUP(Orders[[#This Row],[Product ID]],products!$A$1:$A$49,products!$G$1:$G$49) *Orders[[#This Row],[Quantity]]</f>
        <v>0.35819999999999996</v>
      </c>
    </row>
    <row r="364" spans="1:17" x14ac:dyDescent="0.25">
      <c r="A364" s="2" t="s">
        <v>2532</v>
      </c>
      <c r="B364" s="3">
        <v>44686</v>
      </c>
      <c r="C364" s="2" t="s">
        <v>2533</v>
      </c>
      <c r="D364" t="s">
        <v>6171</v>
      </c>
      <c r="E364" s="2">
        <v>5</v>
      </c>
      <c r="F364" s="2" t="str">
        <f>_xlfn.XLOOKUP(C364,customers!$A$1:$A$1001,customers!$B$1:$B$1001,,0)</f>
        <v>Feliks Babber</v>
      </c>
      <c r="G364" s="2" t="str">
        <f>IF(_xlfn.XLOOKUP(C364,customers!$A$1:$A$1001,customers!$C$1:$C$1001, ,0)=0,"",_xlfn.XLOOKUP(C364,customers!$A$1:$A$1001,customers!$C$1:$C$1001, ,0))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c r="Q364" s="5">
        <f>_xlfn.XLOOKUP(Orders[[#This Row],[Product ID]],products!$A$1:$A$49,products!$G$1:$G$49) *Orders[[#This Row],[Quantity]]</f>
        <v>8.1675000000000004</v>
      </c>
    </row>
    <row r="365" spans="1:17" x14ac:dyDescent="0.25">
      <c r="A365" s="2" t="s">
        <v>2538</v>
      </c>
      <c r="B365" s="3">
        <v>44282</v>
      </c>
      <c r="C365" s="2" t="s">
        <v>2539</v>
      </c>
      <c r="D365" t="s">
        <v>6162</v>
      </c>
      <c r="E365" s="2">
        <v>6</v>
      </c>
      <c r="F365" s="2" t="str">
        <f>_xlfn.XLOOKUP(C365,customers!$A$1:$A$1001,customers!$B$1:$B$1001,,0)</f>
        <v>Kaja Loxton</v>
      </c>
      <c r="G365" s="2" t="str">
        <f>IF(_xlfn.XLOOKUP(C365,customers!$A$1:$A$1001,customers!$C$1:$C$1001, ,0)=0,"",_xlfn.XLOOKUP(C365,customers!$A$1:$A$1001,customers!$C$1:$C$1001, ,0))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c r="Q365" s="5">
        <f>_xlfn.XLOOKUP(Orders[[#This Row],[Product ID]],products!$A$1:$A$49,products!$G$1:$G$49) *Orders[[#This Row],[Quantity]]</f>
        <v>11.349</v>
      </c>
    </row>
    <row r="366" spans="1:17" x14ac:dyDescent="0.25">
      <c r="A366" s="2" t="s">
        <v>2543</v>
      </c>
      <c r="B366" s="3">
        <v>43582</v>
      </c>
      <c r="C366" s="2" t="s">
        <v>2544</v>
      </c>
      <c r="D366" t="s">
        <v>6183</v>
      </c>
      <c r="E366" s="2">
        <v>6</v>
      </c>
      <c r="F366" s="2" t="str">
        <f>_xlfn.XLOOKUP(C366,customers!$A$1:$A$1001,customers!$B$1:$B$1001,,0)</f>
        <v>Parker Tofful</v>
      </c>
      <c r="G366" s="2" t="str">
        <f>IF(_xlfn.XLOOKUP(C366,customers!$A$1:$A$1001,customers!$C$1:$C$1001, ,0)=0,"",_xlfn.XLOOKUP(C366,customers!$A$1:$A$1001,customers!$C$1:$C$1001, ,0))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c r="Q366" s="5">
        <f>_xlfn.XLOOKUP(Orders[[#This Row],[Product ID]],products!$A$1:$A$49,products!$G$1:$G$49) *Orders[[#This Row],[Quantity]]</f>
        <v>8.0190000000000001</v>
      </c>
    </row>
    <row r="367" spans="1:17" x14ac:dyDescent="0.25">
      <c r="A367" s="2" t="s">
        <v>2549</v>
      </c>
      <c r="B367" s="3">
        <v>44464</v>
      </c>
      <c r="C367" s="2" t="s">
        <v>2550</v>
      </c>
      <c r="D367" t="s">
        <v>6169</v>
      </c>
      <c r="E367" s="2">
        <v>1</v>
      </c>
      <c r="F367" s="2" t="str">
        <f>_xlfn.XLOOKUP(C367,customers!$A$1:$A$1001,customers!$B$1:$B$1001,,0)</f>
        <v>Casi Gwinnett</v>
      </c>
      <c r="G367" s="2" t="str">
        <f>IF(_xlfn.XLOOKUP(C367,customers!$A$1:$A$1001,customers!$C$1:$C$1001, ,0)=0,"",_xlfn.XLOOKUP(C367,customers!$A$1:$A$1001,customers!$C$1:$C$1001, ,0))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c r="Q367" s="5">
        <f>_xlfn.XLOOKUP(Orders[[#This Row],[Product ID]],products!$A$1:$A$49,products!$G$1:$G$49) *Orders[[#This Row],[Quantity]]</f>
        <v>1.0101</v>
      </c>
    </row>
    <row r="368" spans="1:17" x14ac:dyDescent="0.25">
      <c r="A368" s="2" t="s">
        <v>2554</v>
      </c>
      <c r="B368" s="3">
        <v>43874</v>
      </c>
      <c r="C368" s="2" t="s">
        <v>2555</v>
      </c>
      <c r="D368" t="s">
        <v>6144</v>
      </c>
      <c r="E368" s="2">
        <v>6</v>
      </c>
      <c r="F368" s="2" t="str">
        <f>_xlfn.XLOOKUP(C368,customers!$A$1:$A$1001,customers!$B$1:$B$1001,,0)</f>
        <v>Saree Ellesworth</v>
      </c>
      <c r="G368" s="2" t="str">
        <f>IF(_xlfn.XLOOKUP(C368,customers!$A$1:$A$1001,customers!$C$1:$C$1001, ,0)=0,"",_xlfn.XLOOKUP(C368,customers!$A$1:$A$1001,customers!$C$1:$C$1001, ,0))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c r="Q368" s="5">
        <f>_xlfn.XLOOKUP(Orders[[#This Row],[Product ID]],products!$A$1:$A$49,products!$G$1:$G$49) *Orders[[#This Row],[Quantity]]</f>
        <v>4.8114000000000008</v>
      </c>
    </row>
    <row r="369" spans="1:17" x14ac:dyDescent="0.25">
      <c r="A369" s="2" t="s">
        <v>2559</v>
      </c>
      <c r="B369" s="3">
        <v>44393</v>
      </c>
      <c r="C369" s="2" t="s">
        <v>2560</v>
      </c>
      <c r="D369" t="s">
        <v>6159</v>
      </c>
      <c r="E369" s="2">
        <v>2</v>
      </c>
      <c r="F369" s="2" t="str">
        <f>_xlfn.XLOOKUP(C369,customers!$A$1:$A$1001,customers!$B$1:$B$1001,,0)</f>
        <v>Silvio Iorizzi</v>
      </c>
      <c r="G369" s="2" t="str">
        <f>IF(_xlfn.XLOOKUP(C369,customers!$A$1:$A$1001,customers!$C$1:$C$1001, ,0)=0,"",_xlfn.XLOOKUP(C369,customers!$A$1:$A$1001,customers!$C$1:$C$1001, ,0))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c r="Q369" s="5">
        <f>_xlfn.XLOOKUP(Orders[[#This Row],[Product ID]],products!$A$1:$A$49,products!$G$1:$G$49) *Orders[[#This Row],[Quantity]]</f>
        <v>1.1349</v>
      </c>
    </row>
    <row r="370" spans="1:17" x14ac:dyDescent="0.25">
      <c r="A370" s="2" t="s">
        <v>2563</v>
      </c>
      <c r="B370" s="3">
        <v>44692</v>
      </c>
      <c r="C370" s="2" t="s">
        <v>2564</v>
      </c>
      <c r="D370" t="s">
        <v>6166</v>
      </c>
      <c r="E370" s="2">
        <v>2</v>
      </c>
      <c r="F370" s="2" t="str">
        <f>_xlfn.XLOOKUP(C370,customers!$A$1:$A$1001,customers!$B$1:$B$1001,,0)</f>
        <v>Leesa Flaonier</v>
      </c>
      <c r="G370" s="2" t="str">
        <f>IF(_xlfn.XLOOKUP(C370,customers!$A$1:$A$1001,customers!$C$1:$C$1001, ,0)=0,"",_xlfn.XLOOKUP(C370,customers!$A$1:$A$1001,customers!$C$1:$C$1001, ,0))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c r="Q370" s="5">
        <f>_xlfn.XLOOKUP(Orders[[#This Row],[Product ID]],products!$A$1:$A$49,products!$G$1:$G$49) *Orders[[#This Row],[Quantity]]</f>
        <v>6.9574999999999996</v>
      </c>
    </row>
    <row r="371" spans="1:17" x14ac:dyDescent="0.25">
      <c r="A371" s="2" t="s">
        <v>2569</v>
      </c>
      <c r="B371" s="3">
        <v>43500</v>
      </c>
      <c r="C371" s="2" t="s">
        <v>2570</v>
      </c>
      <c r="D371" t="s">
        <v>6176</v>
      </c>
      <c r="E371" s="2">
        <v>1</v>
      </c>
      <c r="F371" s="2" t="str">
        <f>_xlfn.XLOOKUP(C371,customers!$A$1:$A$1001,customers!$B$1:$B$1001,,0)</f>
        <v>Abba Pummell</v>
      </c>
      <c r="G371" s="2" t="str">
        <f>IF(_xlfn.XLOOKUP(C371,customers!$A$1:$A$1001,customers!$C$1:$C$1001, ,0)=0,"",_xlfn.XLOOKUP(C371,customers!$A$1:$A$1001,customers!$C$1:$C$1001, ,0))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c r="Q371" s="5">
        <f>_xlfn.XLOOKUP(Orders[[#This Row],[Product ID]],products!$A$1:$A$49,products!$G$1:$G$49) *Orders[[#This Row],[Quantity]]</f>
        <v>0.98009999999999997</v>
      </c>
    </row>
    <row r="372" spans="1:17"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 ,0)=0,"",_xlfn.XLOOKUP(C372,customers!$A$1:$A$1001,customers!$C$1:$C$1001, ,0))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c r="Q372" s="5">
        <f>_xlfn.XLOOKUP(Orders[[#This Row],[Product ID]],products!$A$1:$A$49,products!$G$1:$G$49) *Orders[[#This Row],[Quantity]]</f>
        <v>2.673</v>
      </c>
    </row>
    <row r="373" spans="1:17"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 ,0)=0,"",_xlfn.XLOOKUP(C373,customers!$A$1:$A$1001,customers!$C$1:$C$1001, ,0))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c r="Q373" s="5">
        <f>_xlfn.XLOOKUP(Orders[[#This Row],[Product ID]],products!$A$1:$A$49,products!$G$1:$G$49) *Orders[[#This Row],[Quantity]]</f>
        <v>4.1957999999999993</v>
      </c>
    </row>
    <row r="374" spans="1:17" x14ac:dyDescent="0.25">
      <c r="A374" s="2" t="s">
        <v>2585</v>
      </c>
      <c r="B374" s="3">
        <v>44108</v>
      </c>
      <c r="C374" s="2" t="s">
        <v>2586</v>
      </c>
      <c r="D374" t="s">
        <v>6173</v>
      </c>
      <c r="E374" s="2">
        <v>6</v>
      </c>
      <c r="F374" s="2" t="str">
        <f>_xlfn.XLOOKUP(C374,customers!$A$1:$A$1001,customers!$B$1:$B$1001,,0)</f>
        <v>Terri Farra</v>
      </c>
      <c r="G374" s="2" t="str">
        <f>IF(_xlfn.XLOOKUP(C374,customers!$A$1:$A$1001,customers!$C$1:$C$1001, ,0)=0,"",_xlfn.XLOOKUP(C374,customers!$A$1:$A$1001,customers!$C$1:$C$1001, ,0))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c r="Q374" s="5">
        <f>_xlfn.XLOOKUP(Orders[[#This Row],[Product ID]],products!$A$1:$A$49,products!$G$1:$G$49) *Orders[[#This Row],[Quantity]]</f>
        <v>2.5811999999999995</v>
      </c>
    </row>
    <row r="375" spans="1:17" x14ac:dyDescent="0.25">
      <c r="A375" s="2" t="s">
        <v>2591</v>
      </c>
      <c r="B375" s="3">
        <v>44742</v>
      </c>
      <c r="C375" s="2" t="s">
        <v>2592</v>
      </c>
      <c r="D375" t="s">
        <v>6158</v>
      </c>
      <c r="E375" s="2">
        <v>3</v>
      </c>
      <c r="F375" s="2" t="str">
        <f>_xlfn.XLOOKUP(C375,customers!$A$1:$A$1001,customers!$B$1:$B$1001,,0)</f>
        <v>Corney Curme</v>
      </c>
      <c r="G375" s="2" t="str">
        <f>IF(_xlfn.XLOOKUP(C375,customers!$A$1:$A$1001,customers!$C$1:$C$1001, ,0)=0,"",_xlfn.XLOOKUP(C375,customers!$A$1:$A$1001,customers!$C$1:$C$1001, ,0))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c r="Q375" s="5">
        <f>_xlfn.XLOOKUP(Orders[[#This Row],[Product ID]],products!$A$1:$A$49,products!$G$1:$G$49) *Orders[[#This Row],[Quantity]]</f>
        <v>1.6118999999999999</v>
      </c>
    </row>
    <row r="376" spans="1:17" x14ac:dyDescent="0.25">
      <c r="A376" s="2" t="s">
        <v>2597</v>
      </c>
      <c r="B376" s="3">
        <v>44125</v>
      </c>
      <c r="C376" s="2" t="s">
        <v>2598</v>
      </c>
      <c r="D376" t="s">
        <v>6161</v>
      </c>
      <c r="E376" s="2">
        <v>4</v>
      </c>
      <c r="F376" s="2" t="str">
        <f>_xlfn.XLOOKUP(C376,customers!$A$1:$A$1001,customers!$B$1:$B$1001,,0)</f>
        <v>Gothart Bamfield</v>
      </c>
      <c r="G376" s="2" t="str">
        <f>IF(_xlfn.XLOOKUP(C376,customers!$A$1:$A$1001,customers!$C$1:$C$1001, ,0)=0,"",_xlfn.XLOOKUP(C376,customers!$A$1:$A$1001,customers!$C$1:$C$1001, ,0))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c r="Q376" s="5">
        <f>_xlfn.XLOOKUP(Orders[[#This Row],[Product ID]],products!$A$1:$A$49,products!$G$1:$G$49) *Orders[[#This Row],[Quantity]]</f>
        <v>4.9451999999999998</v>
      </c>
    </row>
    <row r="377" spans="1:17"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 ,0)=0,"",_xlfn.XLOOKUP(C377,customers!$A$1:$A$1001,customers!$C$1:$C$1001, ,0))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c r="Q377" s="5">
        <f>_xlfn.XLOOKUP(Orders[[#This Row],[Product ID]],products!$A$1:$A$49,products!$G$1:$G$49) *Orders[[#This Row],[Quantity]]</f>
        <v>0.60749999999999993</v>
      </c>
    </row>
    <row r="378" spans="1:17" x14ac:dyDescent="0.25">
      <c r="A378" s="2" t="s">
        <v>2609</v>
      </c>
      <c r="B378" s="3">
        <v>44097</v>
      </c>
      <c r="C378" s="2" t="s">
        <v>2610</v>
      </c>
      <c r="D378" t="s">
        <v>6146</v>
      </c>
      <c r="E378" s="2">
        <v>1</v>
      </c>
      <c r="F378" s="2" t="str">
        <f>_xlfn.XLOOKUP(C378,customers!$A$1:$A$1001,customers!$B$1:$B$1001,,0)</f>
        <v>Judd De Leek</v>
      </c>
      <c r="G378" s="2" t="str">
        <f>IF(_xlfn.XLOOKUP(C378,customers!$A$1:$A$1001,customers!$C$1:$C$1001, ,0)=0,"",_xlfn.XLOOKUP(C378,customers!$A$1:$A$1001,customers!$C$1:$C$1001, ,0))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c r="Q378" s="5">
        <f>_xlfn.XLOOKUP(Orders[[#This Row],[Product ID]],products!$A$1:$A$49,products!$G$1:$G$49) *Orders[[#This Row],[Quantity]]</f>
        <v>0.35819999999999996</v>
      </c>
    </row>
    <row r="379" spans="1:17" x14ac:dyDescent="0.25">
      <c r="A379" s="2" t="s">
        <v>2615</v>
      </c>
      <c r="B379" s="3">
        <v>43532</v>
      </c>
      <c r="C379" s="2" t="s">
        <v>2616</v>
      </c>
      <c r="D379" t="s">
        <v>6163</v>
      </c>
      <c r="E379" s="2">
        <v>3</v>
      </c>
      <c r="F379" s="2" t="str">
        <f>_xlfn.XLOOKUP(C379,customers!$A$1:$A$1001,customers!$B$1:$B$1001,,0)</f>
        <v>Vanya Skullet</v>
      </c>
      <c r="G379" s="2" t="str">
        <f>IF(_xlfn.XLOOKUP(C379,customers!$A$1:$A$1001,customers!$C$1:$C$1001, ,0)=0,"",_xlfn.XLOOKUP(C379,customers!$A$1:$A$1001,customers!$C$1:$C$1001, ,0))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c r="Q379" s="5">
        <f>_xlfn.XLOOKUP(Orders[[#This Row],[Product ID]],products!$A$1:$A$49,products!$G$1:$G$49) *Orders[[#This Row],[Quantity]]</f>
        <v>0.4832999999999999</v>
      </c>
    </row>
    <row r="380" spans="1:17" x14ac:dyDescent="0.25">
      <c r="A380" s="2" t="s">
        <v>2621</v>
      </c>
      <c r="B380" s="3">
        <v>44377</v>
      </c>
      <c r="C380" s="2" t="s">
        <v>2622</v>
      </c>
      <c r="D380" t="s">
        <v>6180</v>
      </c>
      <c r="E380" s="2">
        <v>3</v>
      </c>
      <c r="F380" s="2" t="str">
        <f>_xlfn.XLOOKUP(C380,customers!$A$1:$A$1001,customers!$B$1:$B$1001,,0)</f>
        <v>Jany Rudeforth</v>
      </c>
      <c r="G380" s="2" t="str">
        <f>IF(_xlfn.XLOOKUP(C380,customers!$A$1:$A$1001,customers!$C$1:$C$1001, ,0)=0,"",_xlfn.XLOOKUP(C380,customers!$A$1:$A$1001,customers!$C$1:$C$1001, ,0))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c r="Q380" s="5">
        <f>_xlfn.XLOOKUP(Orders[[#This Row],[Product ID]],products!$A$1:$A$49,products!$G$1:$G$49) *Orders[[#This Row],[Quantity]]</f>
        <v>2.0978999999999997</v>
      </c>
    </row>
    <row r="381" spans="1:17"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 ,0)=0,"",_xlfn.XLOOKUP(C381,customers!$A$1:$A$1001,customers!$C$1:$C$1001, ,0))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c r="Q381" s="5">
        <f>_xlfn.XLOOKUP(Orders[[#This Row],[Product ID]],products!$A$1:$A$49,products!$G$1:$G$49) *Orders[[#This Row],[Quantity]]</f>
        <v>2.5811999999999995</v>
      </c>
    </row>
    <row r="382" spans="1:17" x14ac:dyDescent="0.25">
      <c r="A382" s="2" t="s">
        <v>2632</v>
      </c>
      <c r="B382" s="3">
        <v>44249</v>
      </c>
      <c r="C382" s="2" t="s">
        <v>2331</v>
      </c>
      <c r="D382" t="s">
        <v>6169</v>
      </c>
      <c r="E382" s="2">
        <v>3</v>
      </c>
      <c r="F382" s="2" t="str">
        <f>_xlfn.XLOOKUP(C382,customers!$A$1:$A$1001,customers!$B$1:$B$1001,,0)</f>
        <v>Flynn Antony</v>
      </c>
      <c r="G382" s="2" t="str">
        <f>IF(_xlfn.XLOOKUP(C382,customers!$A$1:$A$1001,customers!$C$1:$C$1001, ,0)=0,"",_xlfn.XLOOKUP(C382,customers!$A$1:$A$1001,customers!$C$1:$C$1001, ,0))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c r="Q382" s="5">
        <f>_xlfn.XLOOKUP(Orders[[#This Row],[Product ID]],products!$A$1:$A$49,products!$G$1:$G$49) *Orders[[#This Row],[Quantity]]</f>
        <v>3.0303</v>
      </c>
    </row>
    <row r="383" spans="1:17" x14ac:dyDescent="0.25">
      <c r="A383" s="2" t="s">
        <v>2638</v>
      </c>
      <c r="B383" s="3">
        <v>44646</v>
      </c>
      <c r="C383" s="2" t="s">
        <v>2639</v>
      </c>
      <c r="D383" t="s">
        <v>6154</v>
      </c>
      <c r="E383" s="2">
        <v>5</v>
      </c>
      <c r="F383" s="2" t="str">
        <f>_xlfn.XLOOKUP(C383,customers!$A$1:$A$1001,customers!$B$1:$B$1001,,0)</f>
        <v>Pren Bess</v>
      </c>
      <c r="G383" s="2" t="str">
        <f>IF(_xlfn.XLOOKUP(C383,customers!$A$1:$A$1001,customers!$C$1:$C$1001, ,0)=0,"",_xlfn.XLOOKUP(C383,customers!$A$1:$A$1001,customers!$C$1:$C$1001, ,0))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c r="Q383" s="5">
        <f>_xlfn.XLOOKUP(Orders[[#This Row],[Product ID]],products!$A$1:$A$49,products!$G$1:$G$49) *Orders[[#This Row],[Quantity]]</f>
        <v>1.3432500000000001</v>
      </c>
    </row>
    <row r="384" spans="1:17" x14ac:dyDescent="0.25">
      <c r="A384" s="2" t="s">
        <v>2644</v>
      </c>
      <c r="B384" s="3">
        <v>43840</v>
      </c>
      <c r="C384" s="2" t="s">
        <v>2645</v>
      </c>
      <c r="D384" t="s">
        <v>6144</v>
      </c>
      <c r="E384" s="2">
        <v>3</v>
      </c>
      <c r="F384" s="2" t="str">
        <f>_xlfn.XLOOKUP(C384,customers!$A$1:$A$1001,customers!$B$1:$B$1001,,0)</f>
        <v>Elka Windress</v>
      </c>
      <c r="G384" s="2" t="str">
        <f>IF(_xlfn.XLOOKUP(C384,customers!$A$1:$A$1001,customers!$C$1:$C$1001, ,0)=0,"",_xlfn.XLOOKUP(C384,customers!$A$1:$A$1001,customers!$C$1:$C$1001, ,0))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c r="Q384" s="5">
        <f>_xlfn.XLOOKUP(Orders[[#This Row],[Product ID]],products!$A$1:$A$49,products!$G$1:$G$49) *Orders[[#This Row],[Quantity]]</f>
        <v>2.4057000000000004</v>
      </c>
    </row>
    <row r="385" spans="1:17" x14ac:dyDescent="0.25">
      <c r="A385" s="2" t="s">
        <v>2650</v>
      </c>
      <c r="B385" s="3">
        <v>43586</v>
      </c>
      <c r="C385" s="2" t="s">
        <v>2651</v>
      </c>
      <c r="D385" t="s">
        <v>6176</v>
      </c>
      <c r="E385" s="2">
        <v>6</v>
      </c>
      <c r="F385" s="2" t="str">
        <f>_xlfn.XLOOKUP(C385,customers!$A$1:$A$1001,customers!$B$1:$B$1001,,0)</f>
        <v>Marty Kidstoun</v>
      </c>
      <c r="G385" s="2" t="str">
        <f>IF(_xlfn.XLOOKUP(C385,customers!$A$1:$A$1001,customers!$C$1:$C$1001, ,0)=0,"",_xlfn.XLOOKUP(C385,customers!$A$1:$A$1001,customers!$C$1:$C$1001, ,0))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c r="Q385" s="5">
        <f>_xlfn.XLOOKUP(Orders[[#This Row],[Product ID]],products!$A$1:$A$49,products!$G$1:$G$49) *Orders[[#This Row],[Quantity]]</f>
        <v>5.8805999999999994</v>
      </c>
    </row>
    <row r="386" spans="1:17" x14ac:dyDescent="0.25">
      <c r="A386" s="2" t="s">
        <v>2655</v>
      </c>
      <c r="B386" s="3">
        <v>43870</v>
      </c>
      <c r="C386" s="2" t="s">
        <v>2656</v>
      </c>
      <c r="D386" t="s">
        <v>6182</v>
      </c>
      <c r="E386" s="2">
        <v>4</v>
      </c>
      <c r="F386" s="2" t="str">
        <f>_xlfn.XLOOKUP(C386,customers!$A$1:$A$1001,customers!$B$1:$B$1001,,0)</f>
        <v>Nickey Dimbleby</v>
      </c>
      <c r="G386" s="2" t="str">
        <f>IF(_xlfn.XLOOKUP(C386,customers!$A$1:$A$1001,customers!$C$1:$C$1001, ,0)=0,"",_xlfn.XLOOKUP(C386,customers!$A$1:$A$1001,customers!$C$1:$C$1001, ,0))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c r="Q386" s="5">
        <f>_xlfn.XLOOKUP(Orders[[#This Row],[Product ID]],products!$A$1:$A$49,products!$G$1:$G$49) *Orders[[#This Row],[Quantity]]</f>
        <v>10.722599999999998</v>
      </c>
    </row>
    <row r="387" spans="1:17" x14ac:dyDescent="0.25">
      <c r="A387" s="2" t="s">
        <v>2660</v>
      </c>
      <c r="B387" s="3">
        <v>44559</v>
      </c>
      <c r="C387" s="2" t="s">
        <v>2661</v>
      </c>
      <c r="D387" t="s">
        <v>6160</v>
      </c>
      <c r="E387" s="2">
        <v>5</v>
      </c>
      <c r="F387" s="2" t="str">
        <f>_xlfn.XLOOKUP(C387,customers!$A$1:$A$1001,customers!$B$1:$B$1001,,0)</f>
        <v>Virgil Baumadier</v>
      </c>
      <c r="G387" s="2" t="str">
        <f>IF(_xlfn.XLOOKUP(C387,customers!$A$1:$A$1001,customers!$C$1:$C$1001, ,0)=0,"",_xlfn.XLOOKUP(C387,customers!$A$1:$A$1001,customers!$C$1:$C$1001, ,0))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 = "Lib","Liberica"))))</f>
        <v>Liberica</v>
      </c>
      <c r="O387" t="str">
        <f t="shared" ref="O387:O450" si="20">IF(J387="L","Light",IF(J387="M","Medium",IF(J387="D","Dark")))</f>
        <v>Medium</v>
      </c>
      <c r="P387" t="str">
        <f>_xlfn.XLOOKUP(Orders[[#This Row],[Customer ID]],customers!$A$1:$A$1001,customers!$I$1:$I$1001,,0)</f>
        <v>Yes</v>
      </c>
      <c r="Q387" s="5">
        <f>_xlfn.XLOOKUP(Orders[[#This Row],[Product ID]],products!$A$1:$A$49,products!$G$1:$G$49) *Orders[[#This Row],[Quantity]]</f>
        <v>5.6745000000000001</v>
      </c>
    </row>
    <row r="388" spans="1:17"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 ,0)=0,"",_xlfn.XLOOKUP(C388,customers!$A$1:$A$1001,customers!$C$1:$C$1001, ,0))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c r="Q388" s="5">
        <f>_xlfn.XLOOKUP(Orders[[#This Row],[Product ID]],products!$A$1:$A$49,products!$G$1:$G$49) *Orders[[#This Row],[Quantity]]</f>
        <v>1.6118999999999999</v>
      </c>
    </row>
    <row r="389" spans="1:17" x14ac:dyDescent="0.25">
      <c r="A389" s="2" t="s">
        <v>2671</v>
      </c>
      <c r="B389" s="3">
        <v>44455</v>
      </c>
      <c r="C389" s="2" t="s">
        <v>2672</v>
      </c>
      <c r="D389" t="s">
        <v>6171</v>
      </c>
      <c r="E389" s="2">
        <v>5</v>
      </c>
      <c r="F389" s="2" t="str">
        <f>_xlfn.XLOOKUP(C389,customers!$A$1:$A$1001,customers!$B$1:$B$1001,,0)</f>
        <v>Shirleen Welds</v>
      </c>
      <c r="G389" s="2" t="str">
        <f>IF(_xlfn.XLOOKUP(C389,customers!$A$1:$A$1001,customers!$C$1:$C$1001, ,0)=0,"",_xlfn.XLOOKUP(C389,customers!$A$1:$A$1001,customers!$C$1:$C$1001, ,0))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c r="Q389" s="5">
        <f>_xlfn.XLOOKUP(Orders[[#This Row],[Product ID]],products!$A$1:$A$49,products!$G$1:$G$49) *Orders[[#This Row],[Quantity]]</f>
        <v>8.1675000000000004</v>
      </c>
    </row>
    <row r="390" spans="1:17" x14ac:dyDescent="0.25">
      <c r="A390" s="2" t="s">
        <v>2677</v>
      </c>
      <c r="B390" s="3">
        <v>44130</v>
      </c>
      <c r="C390" s="2" t="s">
        <v>2678</v>
      </c>
      <c r="D390" t="s">
        <v>6150</v>
      </c>
      <c r="E390" s="2">
        <v>3</v>
      </c>
      <c r="F390" s="2" t="str">
        <f>_xlfn.XLOOKUP(C390,customers!$A$1:$A$1001,customers!$B$1:$B$1001,,0)</f>
        <v>Maisie Sarvar</v>
      </c>
      <c r="G390" s="2" t="str">
        <f>IF(_xlfn.XLOOKUP(C390,customers!$A$1:$A$1001,customers!$C$1:$C$1001, ,0)=0,"",_xlfn.XLOOKUP(C390,customers!$A$1:$A$1001,customers!$C$1:$C$1001, ,0))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c r="Q390" s="5">
        <f>_xlfn.XLOOKUP(Orders[[#This Row],[Product ID]],products!$A$1:$A$49,products!$G$1:$G$49) *Orders[[#This Row],[Quantity]]</f>
        <v>1.51515</v>
      </c>
    </row>
    <row r="391" spans="1:17" x14ac:dyDescent="0.25">
      <c r="A391" s="2" t="s">
        <v>2683</v>
      </c>
      <c r="B391" s="3">
        <v>43536</v>
      </c>
      <c r="C391" s="2" t="s">
        <v>2684</v>
      </c>
      <c r="D391" t="s">
        <v>6169</v>
      </c>
      <c r="E391" s="2">
        <v>3</v>
      </c>
      <c r="F391" s="2" t="str">
        <f>_xlfn.XLOOKUP(C391,customers!$A$1:$A$1001,customers!$B$1:$B$1001,,0)</f>
        <v>Andrej Havick</v>
      </c>
      <c r="G391" s="2" t="str">
        <f>IF(_xlfn.XLOOKUP(C391,customers!$A$1:$A$1001,customers!$C$1:$C$1001, ,0)=0,"",_xlfn.XLOOKUP(C391,customers!$A$1:$A$1001,customers!$C$1:$C$1001, ,0))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c r="Q391" s="5">
        <f>_xlfn.XLOOKUP(Orders[[#This Row],[Product ID]],products!$A$1:$A$49,products!$G$1:$G$49) *Orders[[#This Row],[Quantity]]</f>
        <v>3.0303</v>
      </c>
    </row>
    <row r="392" spans="1:17" x14ac:dyDescent="0.25">
      <c r="A392" s="2" t="s">
        <v>2689</v>
      </c>
      <c r="B392" s="3">
        <v>44245</v>
      </c>
      <c r="C392" s="2" t="s">
        <v>2690</v>
      </c>
      <c r="D392" t="s">
        <v>6144</v>
      </c>
      <c r="E392" s="2">
        <v>2</v>
      </c>
      <c r="F392" s="2" t="str">
        <f>_xlfn.XLOOKUP(C392,customers!$A$1:$A$1001,customers!$B$1:$B$1001,,0)</f>
        <v>Sloan Diviny</v>
      </c>
      <c r="G392" s="2" t="str">
        <f>IF(_xlfn.XLOOKUP(C392,customers!$A$1:$A$1001,customers!$C$1:$C$1001, ,0)=0,"",_xlfn.XLOOKUP(C392,customers!$A$1:$A$1001,customers!$C$1:$C$1001, ,0))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c r="Q392" s="5">
        <f>_xlfn.XLOOKUP(Orders[[#This Row],[Product ID]],products!$A$1:$A$49,products!$G$1:$G$49) *Orders[[#This Row],[Quantity]]</f>
        <v>1.6038000000000001</v>
      </c>
    </row>
    <row r="393" spans="1:17" x14ac:dyDescent="0.25">
      <c r="A393" s="2" t="s">
        <v>2694</v>
      </c>
      <c r="B393" s="3">
        <v>44133</v>
      </c>
      <c r="C393" s="2" t="s">
        <v>2695</v>
      </c>
      <c r="D393" t="s">
        <v>6157</v>
      </c>
      <c r="E393" s="2">
        <v>2</v>
      </c>
      <c r="F393" s="2" t="str">
        <f>_xlfn.XLOOKUP(C393,customers!$A$1:$A$1001,customers!$B$1:$B$1001,,0)</f>
        <v>Itch Norquoy</v>
      </c>
      <c r="G393" s="2" t="str">
        <f>IF(_xlfn.XLOOKUP(C393,customers!$A$1:$A$1001,customers!$C$1:$C$1001, ,0)=0,"",_xlfn.XLOOKUP(C393,customers!$A$1:$A$1001,customers!$C$1:$C$1001, ,0))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c r="Q393" s="5">
        <f>_xlfn.XLOOKUP(Orders[[#This Row],[Product ID]],products!$A$1:$A$49,products!$G$1:$G$49) *Orders[[#This Row],[Quantity]]</f>
        <v>1.2149999999999999</v>
      </c>
    </row>
    <row r="394" spans="1:17" x14ac:dyDescent="0.25">
      <c r="A394" s="2" t="s">
        <v>2699</v>
      </c>
      <c r="B394" s="3">
        <v>44445</v>
      </c>
      <c r="C394" s="2" t="s">
        <v>2700</v>
      </c>
      <c r="D394" t="s">
        <v>6171</v>
      </c>
      <c r="E394" s="2">
        <v>6</v>
      </c>
      <c r="F394" s="2" t="str">
        <f>_xlfn.XLOOKUP(C394,customers!$A$1:$A$1001,customers!$B$1:$B$1001,,0)</f>
        <v>Anson Iddison</v>
      </c>
      <c r="G394" s="2" t="str">
        <f>IF(_xlfn.XLOOKUP(C394,customers!$A$1:$A$1001,customers!$C$1:$C$1001, ,0)=0,"",_xlfn.XLOOKUP(C394,customers!$A$1:$A$1001,customers!$C$1:$C$1001, ,0))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c r="Q394" s="5">
        <f>_xlfn.XLOOKUP(Orders[[#This Row],[Product ID]],products!$A$1:$A$49,products!$G$1:$G$49) *Orders[[#This Row],[Quantity]]</f>
        <v>9.8010000000000002</v>
      </c>
    </row>
    <row r="395" spans="1:17" x14ac:dyDescent="0.25">
      <c r="A395" s="2" t="s">
        <v>2699</v>
      </c>
      <c r="B395" s="3">
        <v>44445</v>
      </c>
      <c r="C395" s="2" t="s">
        <v>2700</v>
      </c>
      <c r="D395" t="s">
        <v>6167</v>
      </c>
      <c r="E395" s="2">
        <v>1</v>
      </c>
      <c r="F395" s="2" t="str">
        <f>_xlfn.XLOOKUP(C395,customers!$A$1:$A$1001,customers!$B$1:$B$1001,,0)</f>
        <v>Anson Iddison</v>
      </c>
      <c r="G395" s="2" t="str">
        <f>IF(_xlfn.XLOOKUP(C395,customers!$A$1:$A$1001,customers!$C$1:$C$1001, ,0)=0,"",_xlfn.XLOOKUP(C395,customers!$A$1:$A$1001,customers!$C$1:$C$1001, ,0))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c r="Q395" s="5">
        <f>_xlfn.XLOOKUP(Orders[[#This Row],[Product ID]],products!$A$1:$A$49,products!$G$1:$G$49) *Orders[[#This Row],[Quantity]]</f>
        <v>0.34964999999999996</v>
      </c>
    </row>
    <row r="396" spans="1:17" x14ac:dyDescent="0.25">
      <c r="A396" s="2" t="s">
        <v>2710</v>
      </c>
      <c r="B396" s="3">
        <v>44083</v>
      </c>
      <c r="C396" s="2" t="s">
        <v>2711</v>
      </c>
      <c r="D396" t="s">
        <v>6142</v>
      </c>
      <c r="E396" s="2">
        <v>4</v>
      </c>
      <c r="F396" s="2" t="str">
        <f>_xlfn.XLOOKUP(C396,customers!$A$1:$A$1001,customers!$B$1:$B$1001,,0)</f>
        <v>Randal Longfield</v>
      </c>
      <c r="G396" s="2" t="str">
        <f>IF(_xlfn.XLOOKUP(C396,customers!$A$1:$A$1001,customers!$C$1:$C$1001, ,0)=0,"",_xlfn.XLOOKUP(C396,customers!$A$1:$A$1001,customers!$C$1:$C$1001, ,0))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c r="Q396" s="5">
        <f>_xlfn.XLOOKUP(Orders[[#This Row],[Product ID]],products!$A$1:$A$49,products!$G$1:$G$49) *Orders[[#This Row],[Quantity]]</f>
        <v>6.5963999999999992</v>
      </c>
    </row>
    <row r="397" spans="1:17"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 ,0)=0,"",_xlfn.XLOOKUP(C397,customers!$A$1:$A$1001,customers!$C$1:$C$1001, ,0))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c r="Q397" s="5">
        <f>_xlfn.XLOOKUP(Orders[[#This Row],[Product ID]],products!$A$1:$A$49,products!$G$1:$G$49) *Orders[[#This Row],[Quantity]]</f>
        <v>6.0606</v>
      </c>
    </row>
    <row r="398" spans="1:17" x14ac:dyDescent="0.25">
      <c r="A398" s="2" t="s">
        <v>2721</v>
      </c>
      <c r="B398" s="3">
        <v>44140</v>
      </c>
      <c r="C398" s="2" t="s">
        <v>2722</v>
      </c>
      <c r="D398" t="s">
        <v>6180</v>
      </c>
      <c r="E398" s="2">
        <v>5</v>
      </c>
      <c r="F398" s="2" t="str">
        <f>_xlfn.XLOOKUP(C398,customers!$A$1:$A$1001,customers!$B$1:$B$1001,,0)</f>
        <v>Xenos Gibbons</v>
      </c>
      <c r="G398" s="2" t="str">
        <f>IF(_xlfn.XLOOKUP(C398,customers!$A$1:$A$1001,customers!$C$1:$C$1001, ,0)=0,"",_xlfn.XLOOKUP(C398,customers!$A$1:$A$1001,customers!$C$1:$C$1001, ,0))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c r="Q398" s="5">
        <f>_xlfn.XLOOKUP(Orders[[#This Row],[Product ID]],products!$A$1:$A$49,products!$G$1:$G$49) *Orders[[#This Row],[Quantity]]</f>
        <v>3.4964999999999997</v>
      </c>
    </row>
    <row r="399" spans="1:17" x14ac:dyDescent="0.25">
      <c r="A399" s="2" t="s">
        <v>2727</v>
      </c>
      <c r="B399" s="3">
        <v>43720</v>
      </c>
      <c r="C399" s="2" t="s">
        <v>2728</v>
      </c>
      <c r="D399" t="s">
        <v>6169</v>
      </c>
      <c r="E399" s="2">
        <v>4</v>
      </c>
      <c r="F399" s="2" t="str">
        <f>_xlfn.XLOOKUP(C399,customers!$A$1:$A$1001,customers!$B$1:$B$1001,,0)</f>
        <v>Fleur Parres</v>
      </c>
      <c r="G399" s="2" t="str">
        <f>IF(_xlfn.XLOOKUP(C399,customers!$A$1:$A$1001,customers!$C$1:$C$1001, ,0)=0,"",_xlfn.XLOOKUP(C399,customers!$A$1:$A$1001,customers!$C$1:$C$1001, ,0))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c r="Q399" s="5">
        <f>_xlfn.XLOOKUP(Orders[[#This Row],[Product ID]],products!$A$1:$A$49,products!$G$1:$G$49) *Orders[[#This Row],[Quantity]]</f>
        <v>4.0404</v>
      </c>
    </row>
    <row r="400" spans="1:17" x14ac:dyDescent="0.25">
      <c r="A400" s="2" t="s">
        <v>2733</v>
      </c>
      <c r="B400" s="3">
        <v>43677</v>
      </c>
      <c r="C400" s="2" t="s">
        <v>2734</v>
      </c>
      <c r="D400" t="s">
        <v>6154</v>
      </c>
      <c r="E400" s="2">
        <v>6</v>
      </c>
      <c r="F400" s="2" t="str">
        <f>_xlfn.XLOOKUP(C400,customers!$A$1:$A$1001,customers!$B$1:$B$1001,,0)</f>
        <v>Gran Sibray</v>
      </c>
      <c r="G400" s="2" t="str">
        <f>IF(_xlfn.XLOOKUP(C400,customers!$A$1:$A$1001,customers!$C$1:$C$1001, ,0)=0,"",_xlfn.XLOOKUP(C400,customers!$A$1:$A$1001,customers!$C$1:$C$1001, ,0))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c r="Q400" s="5">
        <f>_xlfn.XLOOKUP(Orders[[#This Row],[Product ID]],products!$A$1:$A$49,products!$G$1:$G$49) *Orders[[#This Row],[Quantity]]</f>
        <v>1.6118999999999999</v>
      </c>
    </row>
    <row r="401" spans="1:17"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 ,0)=0,"",_xlfn.XLOOKUP(C401,customers!$A$1:$A$1001,customers!$C$1:$C$1001, ,0))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c r="Q401" s="5">
        <f>_xlfn.XLOOKUP(Orders[[#This Row],[Product ID]],products!$A$1:$A$49,products!$G$1:$G$49) *Orders[[#This Row],[Quantity]]</f>
        <v>18.4437</v>
      </c>
    </row>
    <row r="402" spans="1:17"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 ,0)=0,"",_xlfn.XLOOKUP(C402,customers!$A$1:$A$1001,customers!$C$1:$C$1001, ,0))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c r="Q402" s="5">
        <f>_xlfn.XLOOKUP(Orders[[#This Row],[Product ID]],products!$A$1:$A$49,products!$G$1:$G$49) *Orders[[#This Row],[Quantity]]</f>
        <v>8.2420000000000009</v>
      </c>
    </row>
    <row r="403" spans="1:17" x14ac:dyDescent="0.25">
      <c r="A403" s="2" t="s">
        <v>2751</v>
      </c>
      <c r="B403" s="3">
        <v>43591</v>
      </c>
      <c r="C403" s="2" t="s">
        <v>2752</v>
      </c>
      <c r="D403" t="s">
        <v>6159</v>
      </c>
      <c r="E403" s="2">
        <v>2</v>
      </c>
      <c r="F403" s="2" t="str">
        <f>_xlfn.XLOOKUP(C403,customers!$A$1:$A$1001,customers!$B$1:$B$1001,,0)</f>
        <v>Rutger Pithcock</v>
      </c>
      <c r="G403" s="2" t="str">
        <f>IF(_xlfn.XLOOKUP(C403,customers!$A$1:$A$1001,customers!$C$1:$C$1001, ,0)=0,"",_xlfn.XLOOKUP(C403,customers!$A$1:$A$1001,customers!$C$1:$C$1001, ,0))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c r="Q403" s="5">
        <f>_xlfn.XLOOKUP(Orders[[#This Row],[Product ID]],products!$A$1:$A$49,products!$G$1:$G$49) *Orders[[#This Row],[Quantity]]</f>
        <v>1.1349</v>
      </c>
    </row>
    <row r="404" spans="1:17" x14ac:dyDescent="0.25">
      <c r="A404" s="2" t="s">
        <v>2757</v>
      </c>
      <c r="B404" s="3">
        <v>43502</v>
      </c>
      <c r="C404" s="2" t="s">
        <v>2758</v>
      </c>
      <c r="D404" t="s">
        <v>6177</v>
      </c>
      <c r="E404" s="2">
        <v>3</v>
      </c>
      <c r="F404" s="2" t="str">
        <f>_xlfn.XLOOKUP(C404,customers!$A$1:$A$1001,customers!$B$1:$B$1001,,0)</f>
        <v>Gale Croysdale</v>
      </c>
      <c r="G404" s="2" t="str">
        <f>IF(_xlfn.XLOOKUP(C404,customers!$A$1:$A$1001,customers!$C$1:$C$1001, ,0)=0,"",_xlfn.XLOOKUP(C404,customers!$A$1:$A$1001,customers!$C$1:$C$1001, ,0))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c r="Q404" s="5">
        <f>_xlfn.XLOOKUP(Orders[[#This Row],[Product ID]],products!$A$1:$A$49,products!$G$1:$G$49) *Orders[[#This Row],[Quantity]]</f>
        <v>1.6109999999999998</v>
      </c>
    </row>
    <row r="405" spans="1:17"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 ,0)=0,"",_xlfn.XLOOKUP(C405,customers!$A$1:$A$1001,customers!$C$1:$C$1001, ,0))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c r="Q405" s="5">
        <f>_xlfn.XLOOKUP(Orders[[#This Row],[Product ID]],products!$A$1:$A$49,products!$G$1:$G$49) *Orders[[#This Row],[Quantity]]</f>
        <v>1.2363</v>
      </c>
    </row>
    <row r="406" spans="1:17" x14ac:dyDescent="0.25">
      <c r="A406" s="2" t="s">
        <v>2769</v>
      </c>
      <c r="B406" s="3">
        <v>43971</v>
      </c>
      <c r="C406" s="2" t="s">
        <v>2770</v>
      </c>
      <c r="D406" t="s">
        <v>6147</v>
      </c>
      <c r="E406" s="2">
        <v>4</v>
      </c>
      <c r="F406" s="2" t="str">
        <f>_xlfn.XLOOKUP(C406,customers!$A$1:$A$1001,customers!$B$1:$B$1001,,0)</f>
        <v>Tania Craggs</v>
      </c>
      <c r="G406" s="2" t="str">
        <f>IF(_xlfn.XLOOKUP(C406,customers!$A$1:$A$1001,customers!$C$1:$C$1001, ,0)=0,"",_xlfn.XLOOKUP(C406,customers!$A$1:$A$1001,customers!$C$1:$C$1001, ,0))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c r="Q406" s="5">
        <f>_xlfn.XLOOKUP(Orders[[#This Row],[Product ID]],products!$A$1:$A$49,products!$G$1:$G$49) *Orders[[#This Row],[Quantity]]</f>
        <v>3.5819999999999994</v>
      </c>
    </row>
    <row r="407" spans="1:17" x14ac:dyDescent="0.25">
      <c r="A407" s="2" t="s">
        <v>2775</v>
      </c>
      <c r="B407" s="3">
        <v>44167</v>
      </c>
      <c r="C407" s="2" t="s">
        <v>2776</v>
      </c>
      <c r="D407" t="s">
        <v>6139</v>
      </c>
      <c r="E407" s="2">
        <v>3</v>
      </c>
      <c r="F407" s="2" t="str">
        <f>_xlfn.XLOOKUP(C407,customers!$A$1:$A$1001,customers!$B$1:$B$1001,,0)</f>
        <v>Leonie Cullrford</v>
      </c>
      <c r="G407" s="2" t="str">
        <f>IF(_xlfn.XLOOKUP(C407,customers!$A$1:$A$1001,customers!$C$1:$C$1001, ,0)=0,"",_xlfn.XLOOKUP(C407,customers!$A$1:$A$1001,customers!$C$1:$C$1001, ,0))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c r="Q407" s="5">
        <f>_xlfn.XLOOKUP(Orders[[#This Row],[Product ID]],products!$A$1:$A$49,products!$G$1:$G$49) *Orders[[#This Row],[Quantity]]</f>
        <v>2.7225000000000001</v>
      </c>
    </row>
    <row r="408" spans="1:17" x14ac:dyDescent="0.25">
      <c r="A408" s="2" t="s">
        <v>2781</v>
      </c>
      <c r="B408" s="3">
        <v>44416</v>
      </c>
      <c r="C408" s="2" t="s">
        <v>2782</v>
      </c>
      <c r="D408" t="s">
        <v>6141</v>
      </c>
      <c r="E408" s="2">
        <v>5</v>
      </c>
      <c r="F408" s="2" t="str">
        <f>_xlfn.XLOOKUP(C408,customers!$A$1:$A$1001,customers!$B$1:$B$1001,,0)</f>
        <v>Auguste Rizon</v>
      </c>
      <c r="G408" s="2" t="str">
        <f>IF(_xlfn.XLOOKUP(C408,customers!$A$1:$A$1001,customers!$C$1:$C$1001, ,0)=0,"",_xlfn.XLOOKUP(C408,customers!$A$1:$A$1001,customers!$C$1:$C$1001, ,0))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c r="Q408" s="5">
        <f>_xlfn.XLOOKUP(Orders[[#This Row],[Product ID]],products!$A$1:$A$49,products!$G$1:$G$49) *Orders[[#This Row],[Quantity]]</f>
        <v>7.5625</v>
      </c>
    </row>
    <row r="409" spans="1:17" x14ac:dyDescent="0.25">
      <c r="A409" s="2" t="s">
        <v>2787</v>
      </c>
      <c r="B409" s="3">
        <v>44595</v>
      </c>
      <c r="C409" s="2" t="s">
        <v>2788</v>
      </c>
      <c r="D409" t="s">
        <v>6139</v>
      </c>
      <c r="E409" s="2">
        <v>6</v>
      </c>
      <c r="F409" s="2" t="str">
        <f>_xlfn.XLOOKUP(C409,customers!$A$1:$A$1001,customers!$B$1:$B$1001,,0)</f>
        <v>Lorin Guerrazzi</v>
      </c>
      <c r="G409" s="2" t="str">
        <f>IF(_xlfn.XLOOKUP(C409,customers!$A$1:$A$1001,customers!$C$1:$C$1001, ,0)=0,"",_xlfn.XLOOKUP(C409,customers!$A$1:$A$1001,customers!$C$1:$C$1001, ,0))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c r="Q409" s="5">
        <f>_xlfn.XLOOKUP(Orders[[#This Row],[Product ID]],products!$A$1:$A$49,products!$G$1:$G$49) *Orders[[#This Row],[Quantity]]</f>
        <v>5.4450000000000003</v>
      </c>
    </row>
    <row r="410" spans="1:17" x14ac:dyDescent="0.25">
      <c r="A410" s="2" t="s">
        <v>2792</v>
      </c>
      <c r="B410" s="3">
        <v>44659</v>
      </c>
      <c r="C410" s="2" t="s">
        <v>2793</v>
      </c>
      <c r="D410" t="s">
        <v>6175</v>
      </c>
      <c r="E410" s="2">
        <v>2</v>
      </c>
      <c r="F410" s="2" t="str">
        <f>_xlfn.XLOOKUP(C410,customers!$A$1:$A$1001,customers!$B$1:$B$1001,,0)</f>
        <v>Felice Miell</v>
      </c>
      <c r="G410" s="2" t="str">
        <f>IF(_xlfn.XLOOKUP(C410,customers!$A$1:$A$1001,customers!$C$1:$C$1001, ,0)=0,"",_xlfn.XLOOKUP(C410,customers!$A$1:$A$1001,customers!$C$1:$C$1001, ,0))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c r="Q410" s="5">
        <f>_xlfn.XLOOKUP(Orders[[#This Row],[Product ID]],products!$A$1:$A$49,products!$G$1:$G$49) *Orders[[#This Row],[Quantity]]</f>
        <v>4.6574999999999989</v>
      </c>
    </row>
    <row r="411" spans="1:17" x14ac:dyDescent="0.25">
      <c r="A411" s="2" t="s">
        <v>2798</v>
      </c>
      <c r="B411" s="3">
        <v>44203</v>
      </c>
      <c r="C411" s="2" t="s">
        <v>2799</v>
      </c>
      <c r="D411" t="s">
        <v>6170</v>
      </c>
      <c r="E411" s="2">
        <v>3</v>
      </c>
      <c r="F411" s="2" t="str">
        <f>_xlfn.XLOOKUP(C411,customers!$A$1:$A$1001,customers!$B$1:$B$1001,,0)</f>
        <v>Hamish Skeech</v>
      </c>
      <c r="G411" s="2" t="str">
        <f>IF(_xlfn.XLOOKUP(C411,customers!$A$1:$A$1001,customers!$C$1:$C$1001, ,0)=0,"",_xlfn.XLOOKUP(C411,customers!$A$1:$A$1001,customers!$C$1:$C$1001, ,0))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c r="Q411" s="5">
        <f>_xlfn.XLOOKUP(Orders[[#This Row],[Product ID]],products!$A$1:$A$49,products!$G$1:$G$49) *Orders[[#This Row],[Quantity]]</f>
        <v>6.1815000000000007</v>
      </c>
    </row>
    <row r="412" spans="1:17"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 ,0)=0,"",_xlfn.XLOOKUP(C412,customers!$A$1:$A$1001,customers!$C$1:$C$1001, ,0))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c r="Q412" s="5">
        <f>_xlfn.XLOOKUP(Orders[[#This Row],[Product ID]],products!$A$1:$A$49,products!$G$1:$G$49) *Orders[[#This Row],[Quantity]]</f>
        <v>1.3985999999999998</v>
      </c>
    </row>
    <row r="413" spans="1:17" x14ac:dyDescent="0.25">
      <c r="A413" s="2" t="s">
        <v>2808</v>
      </c>
      <c r="B413" s="3">
        <v>44504</v>
      </c>
      <c r="C413" s="2" t="s">
        <v>2809</v>
      </c>
      <c r="D413" t="s">
        <v>6162</v>
      </c>
      <c r="E413" s="2">
        <v>6</v>
      </c>
      <c r="F413" s="2" t="str">
        <f>_xlfn.XLOOKUP(C413,customers!$A$1:$A$1001,customers!$B$1:$B$1001,,0)</f>
        <v>Harwilll Bishell</v>
      </c>
      <c r="G413" s="2" t="str">
        <f>IF(_xlfn.XLOOKUP(C413,customers!$A$1:$A$1001,customers!$C$1:$C$1001, ,0)=0,"",_xlfn.XLOOKUP(C413,customers!$A$1:$A$1001,customers!$C$1:$C$1001, ,0))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c r="Q413" s="5">
        <f>_xlfn.XLOOKUP(Orders[[#This Row],[Product ID]],products!$A$1:$A$49,products!$G$1:$G$49) *Orders[[#This Row],[Quantity]]</f>
        <v>11.349</v>
      </c>
    </row>
    <row r="414" spans="1:17"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 ,0)=0,"",_xlfn.XLOOKUP(C414,customers!$A$1:$A$1001,customers!$C$1:$C$1001, ,0))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c r="Q414" s="5">
        <f>_xlfn.XLOOKUP(Orders[[#This Row],[Product ID]],products!$A$1:$A$49,products!$G$1:$G$49) *Orders[[#This Row],[Quantity]]</f>
        <v>5.0625</v>
      </c>
    </row>
    <row r="415" spans="1:17" x14ac:dyDescent="0.25">
      <c r="A415" s="2" t="s">
        <v>2818</v>
      </c>
      <c r="B415" s="3">
        <v>43857</v>
      </c>
      <c r="C415" s="2" t="s">
        <v>2819</v>
      </c>
      <c r="D415" t="s">
        <v>6164</v>
      </c>
      <c r="E415" s="2">
        <v>1</v>
      </c>
      <c r="F415" s="2" t="str">
        <f>_xlfn.XLOOKUP(C415,customers!$A$1:$A$1001,customers!$B$1:$B$1001,,0)</f>
        <v>Waylan Springall</v>
      </c>
      <c r="G415" s="2" t="str">
        <f>IF(_xlfn.XLOOKUP(C415,customers!$A$1:$A$1001,customers!$C$1:$C$1001, ,0)=0,"",_xlfn.XLOOKUP(C415,customers!$A$1:$A$1001,customers!$C$1:$C$1001, ,0))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c r="Q415" s="5">
        <f>_xlfn.XLOOKUP(Orders[[#This Row],[Product ID]],products!$A$1:$A$49,products!$G$1:$G$49) *Orders[[#This Row],[Quantity]]</f>
        <v>4.7391499999999995</v>
      </c>
    </row>
    <row r="416" spans="1:17" x14ac:dyDescent="0.25">
      <c r="A416" s="2" t="s">
        <v>2824</v>
      </c>
      <c r="B416" s="3">
        <v>43802</v>
      </c>
      <c r="C416" s="2" t="s">
        <v>2825</v>
      </c>
      <c r="D416" t="s">
        <v>6178</v>
      </c>
      <c r="E416" s="2">
        <v>3</v>
      </c>
      <c r="F416" s="2" t="str">
        <f>_xlfn.XLOOKUP(C416,customers!$A$1:$A$1001,customers!$B$1:$B$1001,,0)</f>
        <v>Kiri Avramow</v>
      </c>
      <c r="G416" s="2" t="str">
        <f>IF(_xlfn.XLOOKUP(C416,customers!$A$1:$A$1001,customers!$C$1:$C$1001, ,0)=0,"",_xlfn.XLOOKUP(C416,customers!$A$1:$A$1001,customers!$C$1:$C$1001, ,0))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c r="Q416" s="5">
        <f>_xlfn.XLOOKUP(Orders[[#This Row],[Product ID]],products!$A$1:$A$49,products!$G$1:$G$49) *Orders[[#This Row],[Quantity]]</f>
        <v>0.64529999999999987</v>
      </c>
    </row>
    <row r="417" spans="1:17" x14ac:dyDescent="0.25">
      <c r="A417" s="2" t="s">
        <v>2829</v>
      </c>
      <c r="B417" s="3">
        <v>43683</v>
      </c>
      <c r="C417" s="2" t="s">
        <v>2830</v>
      </c>
      <c r="D417" t="s">
        <v>6174</v>
      </c>
      <c r="E417" s="2">
        <v>3</v>
      </c>
      <c r="F417" s="2" t="str">
        <f>_xlfn.XLOOKUP(C417,customers!$A$1:$A$1001,customers!$B$1:$B$1001,,0)</f>
        <v>Gregg Hawkyens</v>
      </c>
      <c r="G417" s="2" t="str">
        <f>IF(_xlfn.XLOOKUP(C417,customers!$A$1:$A$1001,customers!$C$1:$C$1001, ,0)=0,"",_xlfn.XLOOKUP(C417,customers!$A$1:$A$1001,customers!$C$1:$C$1001, ,0))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c r="Q417" s="5">
        <f>_xlfn.XLOOKUP(Orders[[#This Row],[Product ID]],products!$A$1:$A$49,products!$G$1:$G$49) *Orders[[#This Row],[Quantity]]</f>
        <v>0.53729999999999989</v>
      </c>
    </row>
    <row r="418" spans="1:17" x14ac:dyDescent="0.25">
      <c r="A418" s="2" t="s">
        <v>2834</v>
      </c>
      <c r="B418" s="3">
        <v>43901</v>
      </c>
      <c r="C418" s="2" t="s">
        <v>2835</v>
      </c>
      <c r="D418" t="s">
        <v>6180</v>
      </c>
      <c r="E418" s="2">
        <v>3</v>
      </c>
      <c r="F418" s="2" t="str">
        <f>_xlfn.XLOOKUP(C418,customers!$A$1:$A$1001,customers!$B$1:$B$1001,,0)</f>
        <v>Reggis Pracy</v>
      </c>
      <c r="G418" s="2" t="str">
        <f>IF(_xlfn.XLOOKUP(C418,customers!$A$1:$A$1001,customers!$C$1:$C$1001, ,0)=0,"",_xlfn.XLOOKUP(C418,customers!$A$1:$A$1001,customers!$C$1:$C$1001, ,0))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c r="Q418" s="5">
        <f>_xlfn.XLOOKUP(Orders[[#This Row],[Product ID]],products!$A$1:$A$49,products!$G$1:$G$49) *Orders[[#This Row],[Quantity]]</f>
        <v>2.0978999999999997</v>
      </c>
    </row>
    <row r="419" spans="1:17" x14ac:dyDescent="0.25">
      <c r="A419" s="2" t="s">
        <v>2839</v>
      </c>
      <c r="B419" s="3">
        <v>44457</v>
      </c>
      <c r="C419" s="2" t="s">
        <v>2840</v>
      </c>
      <c r="D419" t="s">
        <v>6182</v>
      </c>
      <c r="E419" s="2">
        <v>1</v>
      </c>
      <c r="F419" s="2" t="str">
        <f>_xlfn.XLOOKUP(C419,customers!$A$1:$A$1001,customers!$B$1:$B$1001,,0)</f>
        <v>Paula Denis</v>
      </c>
      <c r="G419" s="2" t="str">
        <f>IF(_xlfn.XLOOKUP(C419,customers!$A$1:$A$1001,customers!$C$1:$C$1001, ,0)=0,"",_xlfn.XLOOKUP(C419,customers!$A$1:$A$1001,customers!$C$1:$C$1001, ,0))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c r="Q419" s="5">
        <f>_xlfn.XLOOKUP(Orders[[#This Row],[Product ID]],products!$A$1:$A$49,products!$G$1:$G$49) *Orders[[#This Row],[Quantity]]</f>
        <v>2.6806499999999995</v>
      </c>
    </row>
    <row r="420" spans="1:17"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 ,0)=0,"",_xlfn.XLOOKUP(C420,customers!$A$1:$A$1001,customers!$C$1:$C$1001, ,0))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c r="Q420" s="5">
        <f>_xlfn.XLOOKUP(Orders[[#This Row],[Product ID]],products!$A$1:$A$49,products!$G$1:$G$49) *Orders[[#This Row],[Quantity]]</f>
        <v>13.403249999999998</v>
      </c>
    </row>
    <row r="421" spans="1:17" x14ac:dyDescent="0.25">
      <c r="A421" s="2" t="s">
        <v>2849</v>
      </c>
      <c r="B421" s="3">
        <v>44739</v>
      </c>
      <c r="C421" s="2" t="s">
        <v>2850</v>
      </c>
      <c r="D421" t="s">
        <v>6160</v>
      </c>
      <c r="E421" s="2">
        <v>1</v>
      </c>
      <c r="F421" s="2" t="str">
        <f>_xlfn.XLOOKUP(C421,customers!$A$1:$A$1001,customers!$B$1:$B$1001,,0)</f>
        <v>Annabella Danzey</v>
      </c>
      <c r="G421" s="2" t="str">
        <f>IF(_xlfn.XLOOKUP(C421,customers!$A$1:$A$1001,customers!$C$1:$C$1001, ,0)=0,"",_xlfn.XLOOKUP(C421,customers!$A$1:$A$1001,customers!$C$1:$C$1001, ,0))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c r="Q421" s="5">
        <f>_xlfn.XLOOKUP(Orders[[#This Row],[Product ID]],products!$A$1:$A$49,products!$G$1:$G$49) *Orders[[#This Row],[Quantity]]</f>
        <v>1.1349</v>
      </c>
    </row>
    <row r="422" spans="1:17" x14ac:dyDescent="0.25">
      <c r="A422" s="2" t="s">
        <v>2855</v>
      </c>
      <c r="B422" s="3">
        <v>43866</v>
      </c>
      <c r="C422" s="2" t="s">
        <v>2586</v>
      </c>
      <c r="D422" t="s">
        <v>6169</v>
      </c>
      <c r="E422" s="2">
        <v>4</v>
      </c>
      <c r="F422" s="2" t="str">
        <f>_xlfn.XLOOKUP(C422,customers!$A$1:$A$1001,customers!$B$1:$B$1001,,0)</f>
        <v>Terri Farra</v>
      </c>
      <c r="G422" s="2" t="str">
        <f>IF(_xlfn.XLOOKUP(C422,customers!$A$1:$A$1001,customers!$C$1:$C$1001, ,0)=0,"",_xlfn.XLOOKUP(C422,customers!$A$1:$A$1001,customers!$C$1:$C$1001, ,0))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c r="Q422" s="5">
        <f>_xlfn.XLOOKUP(Orders[[#This Row],[Product ID]],products!$A$1:$A$49,products!$G$1:$G$49) *Orders[[#This Row],[Quantity]]</f>
        <v>4.0404</v>
      </c>
    </row>
    <row r="423" spans="1:17" x14ac:dyDescent="0.25">
      <c r="A423" s="2" t="s">
        <v>2855</v>
      </c>
      <c r="B423" s="3">
        <v>43866</v>
      </c>
      <c r="C423" s="2" t="s">
        <v>2586</v>
      </c>
      <c r="D423" t="s">
        <v>6168</v>
      </c>
      <c r="E423" s="2">
        <v>6</v>
      </c>
      <c r="F423" s="2" t="str">
        <f>_xlfn.XLOOKUP(C423,customers!$A$1:$A$1001,customers!$B$1:$B$1001,,0)</f>
        <v>Terri Farra</v>
      </c>
      <c r="G423" s="2" t="str">
        <f>IF(_xlfn.XLOOKUP(C423,customers!$A$1:$A$1001,customers!$C$1:$C$1001, ,0)=0,"",_xlfn.XLOOKUP(C423,customers!$A$1:$A$1001,customers!$C$1:$C$1001, ,0))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c r="Q423" s="5">
        <f>_xlfn.XLOOKUP(Orders[[#This Row],[Product ID]],products!$A$1:$A$49,products!$G$1:$G$49) *Orders[[#This Row],[Quantity]]</f>
        <v>12.357899999999997</v>
      </c>
    </row>
    <row r="424" spans="1:17" x14ac:dyDescent="0.25">
      <c r="A424" s="2" t="s">
        <v>2866</v>
      </c>
      <c r="B424" s="3">
        <v>43868</v>
      </c>
      <c r="C424" s="2" t="s">
        <v>2867</v>
      </c>
      <c r="D424" t="s">
        <v>6158</v>
      </c>
      <c r="E424" s="2">
        <v>5</v>
      </c>
      <c r="F424" s="2" t="str">
        <f>_xlfn.XLOOKUP(C424,customers!$A$1:$A$1001,customers!$B$1:$B$1001,,0)</f>
        <v>Nevins Glowacz</v>
      </c>
      <c r="G424" s="2" t="str">
        <f>IF(_xlfn.XLOOKUP(C424,customers!$A$1:$A$1001,customers!$C$1:$C$1001, ,0)=0,"",_xlfn.XLOOKUP(C424,customers!$A$1:$A$1001,customers!$C$1:$C$1001, ,0))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c r="Q424" s="5">
        <f>_xlfn.XLOOKUP(Orders[[#This Row],[Product ID]],products!$A$1:$A$49,products!$G$1:$G$49) *Orders[[#This Row],[Quantity]]</f>
        <v>2.6865000000000001</v>
      </c>
    </row>
    <row r="425" spans="1:17" x14ac:dyDescent="0.25">
      <c r="A425" s="2" t="s">
        <v>2871</v>
      </c>
      <c r="B425" s="3">
        <v>44183</v>
      </c>
      <c r="C425" s="2" t="s">
        <v>2872</v>
      </c>
      <c r="D425" t="s">
        <v>6146</v>
      </c>
      <c r="E425" s="2">
        <v>3</v>
      </c>
      <c r="F425" s="2" t="str">
        <f>_xlfn.XLOOKUP(C425,customers!$A$1:$A$1001,customers!$B$1:$B$1001,,0)</f>
        <v>Adelice Isabell</v>
      </c>
      <c r="G425" s="2" t="str">
        <f>IF(_xlfn.XLOOKUP(C425,customers!$A$1:$A$1001,customers!$C$1:$C$1001, ,0)=0,"",_xlfn.XLOOKUP(C425,customers!$A$1:$A$1001,customers!$C$1:$C$1001, ,0))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c r="Q425" s="5">
        <f>_xlfn.XLOOKUP(Orders[[#This Row],[Product ID]],products!$A$1:$A$49,products!$G$1:$G$49) *Orders[[#This Row],[Quantity]]</f>
        <v>1.0745999999999998</v>
      </c>
    </row>
    <row r="426" spans="1:17" x14ac:dyDescent="0.25">
      <c r="A426" s="2" t="s">
        <v>2876</v>
      </c>
      <c r="B426" s="3">
        <v>44431</v>
      </c>
      <c r="C426" s="2" t="s">
        <v>2877</v>
      </c>
      <c r="D426" t="s">
        <v>6176</v>
      </c>
      <c r="E426" s="2">
        <v>3</v>
      </c>
      <c r="F426" s="2" t="str">
        <f>_xlfn.XLOOKUP(C426,customers!$A$1:$A$1001,customers!$B$1:$B$1001,,0)</f>
        <v>Yulma Dombrell</v>
      </c>
      <c r="G426" s="2" t="str">
        <f>IF(_xlfn.XLOOKUP(C426,customers!$A$1:$A$1001,customers!$C$1:$C$1001, ,0)=0,"",_xlfn.XLOOKUP(C426,customers!$A$1:$A$1001,customers!$C$1:$C$1001, ,0))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c r="Q426" s="5">
        <f>_xlfn.XLOOKUP(Orders[[#This Row],[Product ID]],products!$A$1:$A$49,products!$G$1:$G$49) *Orders[[#This Row],[Quantity]]</f>
        <v>2.9402999999999997</v>
      </c>
    </row>
    <row r="427" spans="1:17" x14ac:dyDescent="0.25">
      <c r="A427" s="2" t="s">
        <v>2882</v>
      </c>
      <c r="B427" s="3">
        <v>44428</v>
      </c>
      <c r="C427" s="2" t="s">
        <v>2883</v>
      </c>
      <c r="D427" t="s">
        <v>6177</v>
      </c>
      <c r="E427" s="2">
        <v>2</v>
      </c>
      <c r="F427" s="2" t="str">
        <f>_xlfn.XLOOKUP(C427,customers!$A$1:$A$1001,customers!$B$1:$B$1001,,0)</f>
        <v>Alric Darth</v>
      </c>
      <c r="G427" s="2" t="str">
        <f>IF(_xlfn.XLOOKUP(C427,customers!$A$1:$A$1001,customers!$C$1:$C$1001, ,0)=0,"",_xlfn.XLOOKUP(C427,customers!$A$1:$A$1001,customers!$C$1:$C$1001, ,0))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c r="Q427" s="5">
        <f>_xlfn.XLOOKUP(Orders[[#This Row],[Product ID]],products!$A$1:$A$49,products!$G$1:$G$49) *Orders[[#This Row],[Quantity]]</f>
        <v>1.0739999999999998</v>
      </c>
    </row>
    <row r="428" spans="1:17" x14ac:dyDescent="0.25">
      <c r="A428" s="2" t="s">
        <v>2888</v>
      </c>
      <c r="B428" s="3">
        <v>43556</v>
      </c>
      <c r="C428" s="2" t="s">
        <v>2889</v>
      </c>
      <c r="D428" t="s">
        <v>6178</v>
      </c>
      <c r="E428" s="2">
        <v>4</v>
      </c>
      <c r="F428" s="2" t="str">
        <f>_xlfn.XLOOKUP(C428,customers!$A$1:$A$1001,customers!$B$1:$B$1001,,0)</f>
        <v>Manuel Darrigoe</v>
      </c>
      <c r="G428" s="2" t="str">
        <f>IF(_xlfn.XLOOKUP(C428,customers!$A$1:$A$1001,customers!$C$1:$C$1001, ,0)=0,"",_xlfn.XLOOKUP(C428,customers!$A$1:$A$1001,customers!$C$1:$C$1001, ,0))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c r="Q428" s="5">
        <f>_xlfn.XLOOKUP(Orders[[#This Row],[Product ID]],products!$A$1:$A$49,products!$G$1:$G$49) *Orders[[#This Row],[Quantity]]</f>
        <v>0.86039999999999983</v>
      </c>
    </row>
    <row r="429" spans="1:17" x14ac:dyDescent="0.25">
      <c r="A429" s="2" t="s">
        <v>2894</v>
      </c>
      <c r="B429" s="3">
        <v>44224</v>
      </c>
      <c r="C429" s="2" t="s">
        <v>2895</v>
      </c>
      <c r="D429" t="s">
        <v>6175</v>
      </c>
      <c r="E429" s="2">
        <v>3</v>
      </c>
      <c r="F429" s="2" t="str">
        <f>_xlfn.XLOOKUP(C429,customers!$A$1:$A$1001,customers!$B$1:$B$1001,,0)</f>
        <v>Kynthia Berick</v>
      </c>
      <c r="G429" s="2" t="str">
        <f>IF(_xlfn.XLOOKUP(C429,customers!$A$1:$A$1001,customers!$C$1:$C$1001, ,0)=0,"",_xlfn.XLOOKUP(C429,customers!$A$1:$A$1001,customers!$C$1:$C$1001, ,0))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c r="Q429" s="5">
        <f>_xlfn.XLOOKUP(Orders[[#This Row],[Product ID]],products!$A$1:$A$49,products!$G$1:$G$49) *Orders[[#This Row],[Quantity]]</f>
        <v>6.9862499999999983</v>
      </c>
    </row>
    <row r="430" spans="1:17" x14ac:dyDescent="0.25">
      <c r="A430" s="2" t="s">
        <v>2899</v>
      </c>
      <c r="B430" s="3">
        <v>43759</v>
      </c>
      <c r="C430" s="2" t="s">
        <v>2900</v>
      </c>
      <c r="D430" t="s">
        <v>6179</v>
      </c>
      <c r="E430" s="2">
        <v>5</v>
      </c>
      <c r="F430" s="2" t="str">
        <f>_xlfn.XLOOKUP(C430,customers!$A$1:$A$1001,customers!$B$1:$B$1001,,0)</f>
        <v>Minetta Ackrill</v>
      </c>
      <c r="G430" s="2" t="str">
        <f>IF(_xlfn.XLOOKUP(C430,customers!$A$1:$A$1001,customers!$C$1:$C$1001, ,0)=0,"",_xlfn.XLOOKUP(C430,customers!$A$1:$A$1001,customers!$C$1:$C$1001, ,0))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c r="Q430" s="5">
        <f>_xlfn.XLOOKUP(Orders[[#This Row],[Product ID]],products!$A$1:$A$49,products!$G$1:$G$49) *Orders[[#This Row],[Quantity]]</f>
        <v>3.585</v>
      </c>
    </row>
    <row r="431" spans="1:17" x14ac:dyDescent="0.25">
      <c r="A431" s="2" t="s">
        <v>2905</v>
      </c>
      <c r="B431" s="3">
        <v>44367</v>
      </c>
      <c r="C431" s="2" t="s">
        <v>2586</v>
      </c>
      <c r="D431" t="s">
        <v>6140</v>
      </c>
      <c r="E431" s="2">
        <v>6</v>
      </c>
      <c r="F431" s="2" t="str">
        <f>_xlfn.XLOOKUP(C431,customers!$A$1:$A$1001,customers!$B$1:$B$1001,,0)</f>
        <v>Terri Farra</v>
      </c>
      <c r="G431" s="2" t="str">
        <f>IF(_xlfn.XLOOKUP(C431,customers!$A$1:$A$1001,customers!$C$1:$C$1001, ,0)=0,"",_xlfn.XLOOKUP(C431,customers!$A$1:$A$1001,customers!$C$1:$C$1001, ,0))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c r="Q431" s="5">
        <f>_xlfn.XLOOKUP(Orders[[#This Row],[Product ID]],products!$A$1:$A$49,products!$G$1:$G$49) *Orders[[#This Row],[Quantity]]</f>
        <v>6.9930000000000003</v>
      </c>
    </row>
    <row r="432" spans="1:17" x14ac:dyDescent="0.25">
      <c r="A432" s="2" t="s">
        <v>2911</v>
      </c>
      <c r="B432" s="3">
        <v>44504</v>
      </c>
      <c r="C432" s="2" t="s">
        <v>2912</v>
      </c>
      <c r="D432" t="s">
        <v>6163</v>
      </c>
      <c r="E432" s="2">
        <v>2</v>
      </c>
      <c r="F432" s="2" t="str">
        <f>_xlfn.XLOOKUP(C432,customers!$A$1:$A$1001,customers!$B$1:$B$1001,,0)</f>
        <v>Melosa Kippen</v>
      </c>
      <c r="G432" s="2" t="str">
        <f>IF(_xlfn.XLOOKUP(C432,customers!$A$1:$A$1001,customers!$C$1:$C$1001, ,0)=0,"",_xlfn.XLOOKUP(C432,customers!$A$1:$A$1001,customers!$C$1:$C$1001, ,0))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c r="Q432" s="5">
        <f>_xlfn.XLOOKUP(Orders[[#This Row],[Product ID]],products!$A$1:$A$49,products!$G$1:$G$49) *Orders[[#This Row],[Quantity]]</f>
        <v>0.32219999999999993</v>
      </c>
    </row>
    <row r="433" spans="1:17" x14ac:dyDescent="0.25">
      <c r="A433" s="2" t="s">
        <v>2917</v>
      </c>
      <c r="B433" s="3">
        <v>44291</v>
      </c>
      <c r="C433" s="2" t="s">
        <v>2918</v>
      </c>
      <c r="D433" t="s">
        <v>6185</v>
      </c>
      <c r="E433" s="2">
        <v>3</v>
      </c>
      <c r="F433" s="2" t="str">
        <f>_xlfn.XLOOKUP(C433,customers!$A$1:$A$1001,customers!$B$1:$B$1001,,0)</f>
        <v>Witty Ranson</v>
      </c>
      <c r="G433" s="2" t="str">
        <f>IF(_xlfn.XLOOKUP(C433,customers!$A$1:$A$1001,customers!$C$1:$C$1001, ,0)=0,"",_xlfn.XLOOKUP(C433,customers!$A$1:$A$1001,customers!$C$1:$C$1001, ,0))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c r="Q433" s="5">
        <f>_xlfn.XLOOKUP(Orders[[#This Row],[Product ID]],products!$A$1:$A$49,products!$G$1:$G$49) *Orders[[#This Row],[Quantity]]</f>
        <v>9.2218499999999999</v>
      </c>
    </row>
    <row r="434" spans="1:17" x14ac:dyDescent="0.25">
      <c r="A434" s="2" t="s">
        <v>2923</v>
      </c>
      <c r="B434" s="3">
        <v>43808</v>
      </c>
      <c r="C434" s="2" t="s">
        <v>2924</v>
      </c>
      <c r="D434" t="s">
        <v>6155</v>
      </c>
      <c r="E434" s="2">
        <v>2</v>
      </c>
      <c r="F434" s="2" t="str">
        <f>_xlfn.XLOOKUP(C434,customers!$A$1:$A$1001,customers!$B$1:$B$1001,,0)</f>
        <v>Rod Gowdie</v>
      </c>
      <c r="G434" s="2" t="str">
        <f>IF(_xlfn.XLOOKUP(C434,customers!$A$1:$A$1001,customers!$C$1:$C$1001, ,0)=0,"",_xlfn.XLOOKUP(C434,customers!$A$1:$A$1001,customers!$C$1:$C$1001, ,0))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c r="Q434" s="5">
        <f>_xlfn.XLOOKUP(Orders[[#This Row],[Product ID]],products!$A$1:$A$49,products!$G$1:$G$49) *Orders[[#This Row],[Quantity]]</f>
        <v>2.0249999999999999</v>
      </c>
    </row>
    <row r="435" spans="1:17" x14ac:dyDescent="0.25">
      <c r="A435" s="2" t="s">
        <v>2928</v>
      </c>
      <c r="B435" s="3">
        <v>44563</v>
      </c>
      <c r="C435" s="2" t="s">
        <v>2929</v>
      </c>
      <c r="D435" t="s">
        <v>6181</v>
      </c>
      <c r="E435" s="2">
        <v>6</v>
      </c>
      <c r="F435" s="2" t="str">
        <f>_xlfn.XLOOKUP(C435,customers!$A$1:$A$1001,customers!$B$1:$B$1001,,0)</f>
        <v>Lemuel Rignold</v>
      </c>
      <c r="G435" s="2" t="str">
        <f>IF(_xlfn.XLOOKUP(C435,customers!$A$1:$A$1001,customers!$C$1:$C$1001, ,0)=0,"",_xlfn.XLOOKUP(C435,customers!$A$1:$A$1001,customers!$C$1:$C$1001, ,0))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c r="Q435" s="5">
        <f>_xlfn.XLOOKUP(Orders[[#This Row],[Product ID]],products!$A$1:$A$49,products!$G$1:$G$49) *Orders[[#This Row],[Quantity]]</f>
        <v>26.102699999999999</v>
      </c>
    </row>
    <row r="436" spans="1:17" x14ac:dyDescent="0.25">
      <c r="A436" s="2" t="s">
        <v>2934</v>
      </c>
      <c r="B436" s="3">
        <v>43807</v>
      </c>
      <c r="C436" s="2" t="s">
        <v>2935</v>
      </c>
      <c r="D436" t="s">
        <v>6155</v>
      </c>
      <c r="E436" s="2">
        <v>6</v>
      </c>
      <c r="F436" s="2" t="str">
        <f>_xlfn.XLOOKUP(C436,customers!$A$1:$A$1001,customers!$B$1:$B$1001,,0)</f>
        <v>Nevsa Fields</v>
      </c>
      <c r="G436" s="2" t="str">
        <f>IF(_xlfn.XLOOKUP(C436,customers!$A$1:$A$1001,customers!$C$1:$C$1001, ,0)=0,"",_xlfn.XLOOKUP(C436,customers!$A$1:$A$1001,customers!$C$1:$C$1001, ,0))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c r="Q436" s="5">
        <f>_xlfn.XLOOKUP(Orders[[#This Row],[Product ID]],products!$A$1:$A$49,products!$G$1:$G$49) *Orders[[#This Row],[Quantity]]</f>
        <v>6.0749999999999993</v>
      </c>
    </row>
    <row r="437" spans="1:17" x14ac:dyDescent="0.25">
      <c r="A437" s="2" t="s">
        <v>2939</v>
      </c>
      <c r="B437" s="3">
        <v>44528</v>
      </c>
      <c r="C437" s="2" t="s">
        <v>2940</v>
      </c>
      <c r="D437" t="s">
        <v>6139</v>
      </c>
      <c r="E437" s="2">
        <v>1</v>
      </c>
      <c r="F437" s="2" t="str">
        <f>_xlfn.XLOOKUP(C437,customers!$A$1:$A$1001,customers!$B$1:$B$1001,,0)</f>
        <v>Chance Rowthorn</v>
      </c>
      <c r="G437" s="2" t="str">
        <f>IF(_xlfn.XLOOKUP(C437,customers!$A$1:$A$1001,customers!$C$1:$C$1001, ,0)=0,"",_xlfn.XLOOKUP(C437,customers!$A$1:$A$1001,customers!$C$1:$C$1001, ,0))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c r="Q437" s="5">
        <f>_xlfn.XLOOKUP(Orders[[#This Row],[Product ID]],products!$A$1:$A$49,products!$G$1:$G$49) *Orders[[#This Row],[Quantity]]</f>
        <v>0.90749999999999997</v>
      </c>
    </row>
    <row r="438" spans="1:17" x14ac:dyDescent="0.25">
      <c r="A438" s="2" t="s">
        <v>2945</v>
      </c>
      <c r="B438" s="3">
        <v>44631</v>
      </c>
      <c r="C438" s="2" t="s">
        <v>2946</v>
      </c>
      <c r="D438" t="s">
        <v>6145</v>
      </c>
      <c r="E438" s="2">
        <v>2</v>
      </c>
      <c r="F438" s="2" t="str">
        <f>_xlfn.XLOOKUP(C438,customers!$A$1:$A$1001,customers!$B$1:$B$1001,,0)</f>
        <v>Orly Ryland</v>
      </c>
      <c r="G438" s="2" t="str">
        <f>IF(_xlfn.XLOOKUP(C438,customers!$A$1:$A$1001,customers!$C$1:$C$1001, ,0)=0,"",_xlfn.XLOOKUP(C438,customers!$A$1:$A$1001,customers!$C$1:$C$1001, ,0))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c r="Q438" s="5">
        <f>_xlfn.XLOOKUP(Orders[[#This Row],[Product ID]],products!$A$1:$A$49,products!$G$1:$G$49) *Orders[[#This Row],[Quantity]]</f>
        <v>1.2363</v>
      </c>
    </row>
    <row r="439" spans="1:17"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 ,0)=0,"",_xlfn.XLOOKUP(C439,customers!$A$1:$A$1001,customers!$C$1:$C$1001, ,0))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c r="Q439" s="5">
        <f>_xlfn.XLOOKUP(Orders[[#This Row],[Product ID]],products!$A$1:$A$49,products!$G$1:$G$49) *Orders[[#This Row],[Quantity]]</f>
        <v>3.8720499999999998</v>
      </c>
    </row>
    <row r="440" spans="1:17" x14ac:dyDescent="0.25">
      <c r="A440" s="2" t="s">
        <v>2956</v>
      </c>
      <c r="B440" s="3">
        <v>43483</v>
      </c>
      <c r="C440" s="2" t="s">
        <v>3042</v>
      </c>
      <c r="D440" t="s">
        <v>6169</v>
      </c>
      <c r="E440" s="2">
        <v>2</v>
      </c>
      <c r="F440" s="2" t="str">
        <f>_xlfn.XLOOKUP(C440,customers!$A$1:$A$1001,customers!$B$1:$B$1001,,0)</f>
        <v>Morgen Seson</v>
      </c>
      <c r="G440" s="2" t="str">
        <f>IF(_xlfn.XLOOKUP(C440,customers!$A$1:$A$1001,customers!$C$1:$C$1001, ,0)=0,"",_xlfn.XLOOKUP(C440,customers!$A$1:$A$1001,customers!$C$1:$C$1001, ,0))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c r="Q440" s="5">
        <f>_xlfn.XLOOKUP(Orders[[#This Row],[Product ID]],products!$A$1:$A$49,products!$G$1:$G$49) *Orders[[#This Row],[Quantity]]</f>
        <v>2.0202</v>
      </c>
    </row>
    <row r="441" spans="1:17" x14ac:dyDescent="0.25">
      <c r="A441" s="2" t="s">
        <v>2962</v>
      </c>
      <c r="B441" s="3">
        <v>43562</v>
      </c>
      <c r="C441" s="2" t="s">
        <v>2963</v>
      </c>
      <c r="D441" t="s">
        <v>6176</v>
      </c>
      <c r="E441" s="2">
        <v>4</v>
      </c>
      <c r="F441" s="2" t="str">
        <f>_xlfn.XLOOKUP(C441,customers!$A$1:$A$1001,customers!$B$1:$B$1001,,0)</f>
        <v>Chickie Ragless</v>
      </c>
      <c r="G441" s="2" t="str">
        <f>IF(_xlfn.XLOOKUP(C441,customers!$A$1:$A$1001,customers!$C$1:$C$1001, ,0)=0,"",_xlfn.XLOOKUP(C441,customers!$A$1:$A$1001,customers!$C$1:$C$1001, ,0))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c r="Q441" s="5">
        <f>_xlfn.XLOOKUP(Orders[[#This Row],[Product ID]],products!$A$1:$A$49,products!$G$1:$G$49) *Orders[[#This Row],[Quantity]]</f>
        <v>3.9203999999999999</v>
      </c>
    </row>
    <row r="442" spans="1:17" x14ac:dyDescent="0.25">
      <c r="A442" s="2" t="s">
        <v>2968</v>
      </c>
      <c r="B442" s="3">
        <v>44230</v>
      </c>
      <c r="C442" s="2" t="s">
        <v>2969</v>
      </c>
      <c r="D442" t="s">
        <v>6175</v>
      </c>
      <c r="E442" s="2">
        <v>4</v>
      </c>
      <c r="F442" s="2" t="str">
        <f>_xlfn.XLOOKUP(C442,customers!$A$1:$A$1001,customers!$B$1:$B$1001,,0)</f>
        <v>Freda Hollows</v>
      </c>
      <c r="G442" s="2" t="str">
        <f>IF(_xlfn.XLOOKUP(C442,customers!$A$1:$A$1001,customers!$C$1:$C$1001, ,0)=0,"",_xlfn.XLOOKUP(C442,customers!$A$1:$A$1001,customers!$C$1:$C$1001, ,0))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c r="Q442" s="5">
        <f>_xlfn.XLOOKUP(Orders[[#This Row],[Product ID]],products!$A$1:$A$49,products!$G$1:$G$49) *Orders[[#This Row],[Quantity]]</f>
        <v>9.3149999999999977</v>
      </c>
    </row>
    <row r="443" spans="1:17" x14ac:dyDescent="0.25">
      <c r="A443" s="2" t="s">
        <v>2974</v>
      </c>
      <c r="B443" s="3">
        <v>43573</v>
      </c>
      <c r="C443" s="2" t="s">
        <v>2975</v>
      </c>
      <c r="D443" t="s">
        <v>6183</v>
      </c>
      <c r="E443" s="2">
        <v>3</v>
      </c>
      <c r="F443" s="2" t="str">
        <f>_xlfn.XLOOKUP(C443,customers!$A$1:$A$1001,customers!$B$1:$B$1001,,0)</f>
        <v>Livy Lathleiff</v>
      </c>
      <c r="G443" s="2" t="str">
        <f>IF(_xlfn.XLOOKUP(C443,customers!$A$1:$A$1001,customers!$C$1:$C$1001, ,0)=0,"",_xlfn.XLOOKUP(C443,customers!$A$1:$A$1001,customers!$C$1:$C$1001, ,0))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c r="Q443" s="5">
        <f>_xlfn.XLOOKUP(Orders[[#This Row],[Product ID]],products!$A$1:$A$49,products!$G$1:$G$49) *Orders[[#This Row],[Quantity]]</f>
        <v>4.0095000000000001</v>
      </c>
    </row>
    <row r="444" spans="1:17" x14ac:dyDescent="0.25">
      <c r="A444" s="2" t="s">
        <v>2980</v>
      </c>
      <c r="B444" s="3">
        <v>44384</v>
      </c>
      <c r="C444" s="2" t="s">
        <v>2981</v>
      </c>
      <c r="D444" t="s">
        <v>6173</v>
      </c>
      <c r="E444" s="2">
        <v>5</v>
      </c>
      <c r="F444" s="2" t="str">
        <f>_xlfn.XLOOKUP(C444,customers!$A$1:$A$1001,customers!$B$1:$B$1001,,0)</f>
        <v>Koralle Heads</v>
      </c>
      <c r="G444" s="2" t="str">
        <f>IF(_xlfn.XLOOKUP(C444,customers!$A$1:$A$1001,customers!$C$1:$C$1001, ,0)=0,"",_xlfn.XLOOKUP(C444,customers!$A$1:$A$1001,customers!$C$1:$C$1001, ,0))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c r="Q444" s="5">
        <f>_xlfn.XLOOKUP(Orders[[#This Row],[Product ID]],products!$A$1:$A$49,products!$G$1:$G$49) *Orders[[#This Row],[Quantity]]</f>
        <v>2.1509999999999998</v>
      </c>
    </row>
    <row r="445" spans="1:17" x14ac:dyDescent="0.25">
      <c r="A445" s="2" t="s">
        <v>2986</v>
      </c>
      <c r="B445" s="3">
        <v>44250</v>
      </c>
      <c r="C445" s="2" t="s">
        <v>2987</v>
      </c>
      <c r="D445" t="s">
        <v>6184</v>
      </c>
      <c r="E445" s="2">
        <v>5</v>
      </c>
      <c r="F445" s="2" t="str">
        <f>_xlfn.XLOOKUP(C445,customers!$A$1:$A$1001,customers!$B$1:$B$1001,,0)</f>
        <v>Theo Bowne</v>
      </c>
      <c r="G445" s="2" t="str">
        <f>IF(_xlfn.XLOOKUP(C445,customers!$A$1:$A$1001,customers!$C$1:$C$1001, ,0)=0,"",_xlfn.XLOOKUP(C445,customers!$A$1:$A$1001,customers!$C$1:$C$1001, ,0))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c r="Q445" s="5">
        <f>_xlfn.XLOOKUP(Orders[[#This Row],[Product ID]],products!$A$1:$A$49,products!$G$1:$G$49) *Orders[[#This Row],[Quantity]]</f>
        <v>2.45025</v>
      </c>
    </row>
    <row r="446" spans="1:17" x14ac:dyDescent="0.25">
      <c r="A446" s="2" t="s">
        <v>2992</v>
      </c>
      <c r="B446" s="3">
        <v>44418</v>
      </c>
      <c r="C446" s="2" t="s">
        <v>2993</v>
      </c>
      <c r="D446" t="s">
        <v>6156</v>
      </c>
      <c r="E446" s="2">
        <v>6</v>
      </c>
      <c r="F446" s="2" t="str">
        <f>_xlfn.XLOOKUP(C446,customers!$A$1:$A$1001,customers!$B$1:$B$1001,,0)</f>
        <v>Rasia Jacquemard</v>
      </c>
      <c r="G446" s="2" t="str">
        <f>IF(_xlfn.XLOOKUP(C446,customers!$A$1:$A$1001,customers!$C$1:$C$1001, ,0)=0,"",_xlfn.XLOOKUP(C446,customers!$A$1:$A$1001,customers!$C$1:$C$1001, ,0))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c r="Q446" s="5">
        <f>_xlfn.XLOOKUP(Orders[[#This Row],[Product ID]],products!$A$1:$A$49,products!$G$1:$G$49) *Orders[[#This Row],[Quantity]]</f>
        <v>2.7225000000000001</v>
      </c>
    </row>
    <row r="447" spans="1:17" x14ac:dyDescent="0.25">
      <c r="A447" s="2" t="s">
        <v>2999</v>
      </c>
      <c r="B447" s="3">
        <v>43784</v>
      </c>
      <c r="C447" s="2" t="s">
        <v>3000</v>
      </c>
      <c r="D447" t="s">
        <v>6181</v>
      </c>
      <c r="E447" s="2">
        <v>2</v>
      </c>
      <c r="F447" s="2" t="str">
        <f>_xlfn.XLOOKUP(C447,customers!$A$1:$A$1001,customers!$B$1:$B$1001,,0)</f>
        <v>Kizzie Warman</v>
      </c>
      <c r="G447" s="2" t="str">
        <f>IF(_xlfn.XLOOKUP(C447,customers!$A$1:$A$1001,customers!$C$1:$C$1001, ,0)=0,"",_xlfn.XLOOKUP(C447,customers!$A$1:$A$1001,customers!$C$1:$C$1001, ,0))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c r="Q447" s="5">
        <f>_xlfn.XLOOKUP(Orders[[#This Row],[Product ID]],products!$A$1:$A$49,products!$G$1:$G$49) *Orders[[#This Row],[Quantity]]</f>
        <v>8.700899999999999</v>
      </c>
    </row>
    <row r="448" spans="1:17" x14ac:dyDescent="0.25">
      <c r="A448" s="2" t="s">
        <v>3004</v>
      </c>
      <c r="B448" s="3">
        <v>43816</v>
      </c>
      <c r="C448" s="2" t="s">
        <v>3005</v>
      </c>
      <c r="D448" t="s">
        <v>6160</v>
      </c>
      <c r="E448" s="2">
        <v>1</v>
      </c>
      <c r="F448" s="2" t="str">
        <f>_xlfn.XLOOKUP(C448,customers!$A$1:$A$1001,customers!$B$1:$B$1001,,0)</f>
        <v>Wain Cholomin</v>
      </c>
      <c r="G448" s="2" t="str">
        <f>IF(_xlfn.XLOOKUP(C448,customers!$A$1:$A$1001,customers!$C$1:$C$1001, ,0)=0,"",_xlfn.XLOOKUP(C448,customers!$A$1:$A$1001,customers!$C$1:$C$1001, ,0))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c r="Q448" s="5">
        <f>_xlfn.XLOOKUP(Orders[[#This Row],[Product ID]],products!$A$1:$A$49,products!$G$1:$G$49) *Orders[[#This Row],[Quantity]]</f>
        <v>1.1349</v>
      </c>
    </row>
    <row r="449" spans="1:17" x14ac:dyDescent="0.25">
      <c r="A449" s="2" t="s">
        <v>3010</v>
      </c>
      <c r="B449" s="3">
        <v>43908</v>
      </c>
      <c r="C449" s="2" t="s">
        <v>3011</v>
      </c>
      <c r="D449" t="s">
        <v>6146</v>
      </c>
      <c r="E449" s="2">
        <v>3</v>
      </c>
      <c r="F449" s="2" t="str">
        <f>_xlfn.XLOOKUP(C449,customers!$A$1:$A$1001,customers!$B$1:$B$1001,,0)</f>
        <v>Arleen Braidman</v>
      </c>
      <c r="G449" s="2" t="str">
        <f>IF(_xlfn.XLOOKUP(C449,customers!$A$1:$A$1001,customers!$C$1:$C$1001, ,0)=0,"",_xlfn.XLOOKUP(C449,customers!$A$1:$A$1001,customers!$C$1:$C$1001, ,0))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c r="Q449" s="5">
        <f>_xlfn.XLOOKUP(Orders[[#This Row],[Product ID]],products!$A$1:$A$49,products!$G$1:$G$49) *Orders[[#This Row],[Quantity]]</f>
        <v>1.0745999999999998</v>
      </c>
    </row>
    <row r="450" spans="1:17" x14ac:dyDescent="0.25">
      <c r="A450" s="2" t="s">
        <v>3015</v>
      </c>
      <c r="B450" s="3">
        <v>44718</v>
      </c>
      <c r="C450" s="2" t="s">
        <v>3016</v>
      </c>
      <c r="D450" t="s">
        <v>6173</v>
      </c>
      <c r="E450" s="2">
        <v>1</v>
      </c>
      <c r="F450" s="2" t="str">
        <f>_xlfn.XLOOKUP(C450,customers!$A$1:$A$1001,customers!$B$1:$B$1001,,0)</f>
        <v>Pru Durban</v>
      </c>
      <c r="G450" s="2" t="str">
        <f>IF(_xlfn.XLOOKUP(C450,customers!$A$1:$A$1001,customers!$C$1:$C$1001, ,0)=0,"",_xlfn.XLOOKUP(C450,customers!$A$1:$A$1001,customers!$C$1:$C$1001, ,0))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c r="Q450" s="5">
        <f>_xlfn.XLOOKUP(Orders[[#This Row],[Product ID]],products!$A$1:$A$49,products!$G$1:$G$49) *Orders[[#This Row],[Quantity]]</f>
        <v>0.43019999999999992</v>
      </c>
    </row>
    <row r="451" spans="1:17" x14ac:dyDescent="0.25">
      <c r="A451" s="2" t="s">
        <v>3021</v>
      </c>
      <c r="B451" s="3">
        <v>44336</v>
      </c>
      <c r="C451" s="2" t="s">
        <v>3022</v>
      </c>
      <c r="D451" t="s">
        <v>6163</v>
      </c>
      <c r="E451" s="2">
        <v>2</v>
      </c>
      <c r="F451" s="2" t="str">
        <f>_xlfn.XLOOKUP(C451,customers!$A$1:$A$1001,customers!$B$1:$B$1001,,0)</f>
        <v>Antone Harrold</v>
      </c>
      <c r="G451" s="2" t="str">
        <f>IF(_xlfn.XLOOKUP(C451,customers!$A$1:$A$1001,customers!$C$1:$C$1001, ,0)=0,"",_xlfn.XLOOKUP(C451,customers!$A$1:$A$1001,customers!$C$1:$C$1001, ,0))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 = "Lib","Liberica"))))</f>
        <v>Robusta</v>
      </c>
      <c r="O451" t="str">
        <f t="shared" ref="O451:O514" si="23">IF(J451="L","Light",IF(J451="M","Medium",IF(J451="D","Dark")))</f>
        <v>Dark</v>
      </c>
      <c r="P451" t="str">
        <f>_xlfn.XLOOKUP(Orders[[#This Row],[Customer ID]],customers!$A$1:$A$1001,customers!$I$1:$I$1001,,0)</f>
        <v>No</v>
      </c>
      <c r="Q451" s="5">
        <f>_xlfn.XLOOKUP(Orders[[#This Row],[Product ID]],products!$A$1:$A$49,products!$G$1:$G$49) *Orders[[#This Row],[Quantity]]</f>
        <v>0.32219999999999993</v>
      </c>
    </row>
    <row r="452" spans="1:17" x14ac:dyDescent="0.25">
      <c r="A452" s="2" t="s">
        <v>3027</v>
      </c>
      <c r="B452" s="3">
        <v>44207</v>
      </c>
      <c r="C452" s="2" t="s">
        <v>3028</v>
      </c>
      <c r="D452" t="s">
        <v>6145</v>
      </c>
      <c r="E452" s="2">
        <v>5</v>
      </c>
      <c r="F452" s="2" t="str">
        <f>_xlfn.XLOOKUP(C452,customers!$A$1:$A$1001,customers!$B$1:$B$1001,,0)</f>
        <v>Sim Pamphilon</v>
      </c>
      <c r="G452" s="2" t="str">
        <f>IF(_xlfn.XLOOKUP(C452,customers!$A$1:$A$1001,customers!$C$1:$C$1001, ,0)=0,"",_xlfn.XLOOKUP(C452,customers!$A$1:$A$1001,customers!$C$1:$C$1001, ,0))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c r="Q452" s="5">
        <f>_xlfn.XLOOKUP(Orders[[#This Row],[Product ID]],products!$A$1:$A$49,products!$G$1:$G$49) *Orders[[#This Row],[Quantity]]</f>
        <v>3.0907499999999999</v>
      </c>
    </row>
    <row r="453" spans="1:17" x14ac:dyDescent="0.25">
      <c r="A453" s="2" t="s">
        <v>3035</v>
      </c>
      <c r="B453" s="3">
        <v>43518</v>
      </c>
      <c r="C453" s="2" t="s">
        <v>3036</v>
      </c>
      <c r="D453" t="s">
        <v>6149</v>
      </c>
      <c r="E453" s="2">
        <v>2</v>
      </c>
      <c r="F453" s="2" t="str">
        <f>_xlfn.XLOOKUP(C453,customers!$A$1:$A$1001,customers!$B$1:$B$1001,,0)</f>
        <v>Mohandis Spurden</v>
      </c>
      <c r="G453" s="2" t="str">
        <f>IF(_xlfn.XLOOKUP(C453,customers!$A$1:$A$1001,customers!$C$1:$C$1001, ,0)=0,"",_xlfn.XLOOKUP(C453,customers!$A$1:$A$1001,customers!$C$1:$C$1001, ,0))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c r="Q453" s="5">
        <f>_xlfn.XLOOKUP(Orders[[#This Row],[Product ID]],products!$A$1:$A$49,products!$G$1:$G$49) *Orders[[#This Row],[Quantity]]</f>
        <v>2.4701999999999997</v>
      </c>
    </row>
    <row r="454" spans="1:17" x14ac:dyDescent="0.25">
      <c r="A454" s="2" t="s">
        <v>3041</v>
      </c>
      <c r="B454" s="3">
        <v>44524</v>
      </c>
      <c r="C454" s="2" t="s">
        <v>3042</v>
      </c>
      <c r="D454" t="s">
        <v>6167</v>
      </c>
      <c r="E454" s="2">
        <v>3</v>
      </c>
      <c r="F454" s="2" t="str">
        <f>_xlfn.XLOOKUP(C454,customers!$A$1:$A$1001,customers!$B$1:$B$1001,,0)</f>
        <v>Morgen Seson</v>
      </c>
      <c r="G454" s="2" t="str">
        <f>IF(_xlfn.XLOOKUP(C454,customers!$A$1:$A$1001,customers!$C$1:$C$1001, ,0)=0,"",_xlfn.XLOOKUP(C454,customers!$A$1:$A$1001,customers!$C$1:$C$1001, ,0))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c r="Q454" s="5">
        <f>_xlfn.XLOOKUP(Orders[[#This Row],[Product ID]],products!$A$1:$A$49,products!$G$1:$G$49) *Orders[[#This Row],[Quantity]]</f>
        <v>1.0489499999999998</v>
      </c>
    </row>
    <row r="455" spans="1:17" x14ac:dyDescent="0.25">
      <c r="A455" s="2" t="s">
        <v>3047</v>
      </c>
      <c r="B455" s="3">
        <v>44579</v>
      </c>
      <c r="C455" s="2" t="s">
        <v>3048</v>
      </c>
      <c r="D455" t="s">
        <v>6161</v>
      </c>
      <c r="E455" s="2">
        <v>4</v>
      </c>
      <c r="F455" s="2" t="str">
        <f>_xlfn.XLOOKUP(C455,customers!$A$1:$A$1001,customers!$B$1:$B$1001,,0)</f>
        <v>Nalani Pirrone</v>
      </c>
      <c r="G455" s="2" t="str">
        <f>IF(_xlfn.XLOOKUP(C455,customers!$A$1:$A$1001,customers!$C$1:$C$1001, ,0)=0,"",_xlfn.XLOOKUP(C455,customers!$A$1:$A$1001,customers!$C$1:$C$1001, ,0))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c r="Q455" s="5">
        <f>_xlfn.XLOOKUP(Orders[[#This Row],[Product ID]],products!$A$1:$A$49,products!$G$1:$G$49) *Orders[[#This Row],[Quantity]]</f>
        <v>4.9451999999999998</v>
      </c>
    </row>
    <row r="456" spans="1:17" x14ac:dyDescent="0.25">
      <c r="A456" s="2" t="s">
        <v>3053</v>
      </c>
      <c r="B456" s="3">
        <v>44421</v>
      </c>
      <c r="C456" s="2" t="s">
        <v>3054</v>
      </c>
      <c r="D456" t="s">
        <v>6149</v>
      </c>
      <c r="E456" s="2">
        <v>4</v>
      </c>
      <c r="F456" s="2" t="str">
        <f>_xlfn.XLOOKUP(C456,customers!$A$1:$A$1001,customers!$B$1:$B$1001,,0)</f>
        <v>Reube Cawley</v>
      </c>
      <c r="G456" s="2" t="str">
        <f>IF(_xlfn.XLOOKUP(C456,customers!$A$1:$A$1001,customers!$C$1:$C$1001, ,0)=0,"",_xlfn.XLOOKUP(C456,customers!$A$1:$A$1001,customers!$C$1:$C$1001, ,0))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c r="Q456" s="5">
        <f>_xlfn.XLOOKUP(Orders[[#This Row],[Product ID]],products!$A$1:$A$49,products!$G$1:$G$49) *Orders[[#This Row],[Quantity]]</f>
        <v>4.9403999999999995</v>
      </c>
    </row>
    <row r="457" spans="1:17" x14ac:dyDescent="0.25">
      <c r="A457" s="2" t="s">
        <v>3058</v>
      </c>
      <c r="B457" s="3">
        <v>43841</v>
      </c>
      <c r="C457" s="2" t="s">
        <v>3059</v>
      </c>
      <c r="D457" t="s">
        <v>6145</v>
      </c>
      <c r="E457" s="2">
        <v>2</v>
      </c>
      <c r="F457" s="2" t="str">
        <f>_xlfn.XLOOKUP(C457,customers!$A$1:$A$1001,customers!$B$1:$B$1001,,0)</f>
        <v>Stan Barribal</v>
      </c>
      <c r="G457" s="2" t="str">
        <f>IF(_xlfn.XLOOKUP(C457,customers!$A$1:$A$1001,customers!$C$1:$C$1001, ,0)=0,"",_xlfn.XLOOKUP(C457,customers!$A$1:$A$1001,customers!$C$1:$C$1001, ,0))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c r="Q457" s="5">
        <f>_xlfn.XLOOKUP(Orders[[#This Row],[Product ID]],products!$A$1:$A$49,products!$G$1:$G$49) *Orders[[#This Row],[Quantity]]</f>
        <v>1.2363</v>
      </c>
    </row>
    <row r="458" spans="1:17" x14ac:dyDescent="0.25">
      <c r="A458" s="2" t="s">
        <v>3064</v>
      </c>
      <c r="B458" s="3">
        <v>44017</v>
      </c>
      <c r="C458" s="2" t="s">
        <v>3065</v>
      </c>
      <c r="D458" t="s">
        <v>6149</v>
      </c>
      <c r="E458" s="2">
        <v>2</v>
      </c>
      <c r="F458" s="2" t="str">
        <f>_xlfn.XLOOKUP(C458,customers!$A$1:$A$1001,customers!$B$1:$B$1001,,0)</f>
        <v>Agnes Adamides</v>
      </c>
      <c r="G458" s="2" t="str">
        <f>IF(_xlfn.XLOOKUP(C458,customers!$A$1:$A$1001,customers!$C$1:$C$1001, ,0)=0,"",_xlfn.XLOOKUP(C458,customers!$A$1:$A$1001,customers!$C$1:$C$1001, ,0))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c r="Q458" s="5">
        <f>_xlfn.XLOOKUP(Orders[[#This Row],[Product ID]],products!$A$1:$A$49,products!$G$1:$G$49) *Orders[[#This Row],[Quantity]]</f>
        <v>2.4701999999999997</v>
      </c>
    </row>
    <row r="459" spans="1:17" x14ac:dyDescent="0.25">
      <c r="A459" s="2" t="s">
        <v>3070</v>
      </c>
      <c r="B459" s="3">
        <v>43671</v>
      </c>
      <c r="C459" s="2" t="s">
        <v>3071</v>
      </c>
      <c r="D459" t="s">
        <v>6161</v>
      </c>
      <c r="E459" s="2">
        <v>5</v>
      </c>
      <c r="F459" s="2" t="str">
        <f>_xlfn.XLOOKUP(C459,customers!$A$1:$A$1001,customers!$B$1:$B$1001,,0)</f>
        <v>Carmelita Thowes</v>
      </c>
      <c r="G459" s="2" t="str">
        <f>IF(_xlfn.XLOOKUP(C459,customers!$A$1:$A$1001,customers!$C$1:$C$1001, ,0)=0,"",_xlfn.XLOOKUP(C459,customers!$A$1:$A$1001,customers!$C$1:$C$1001, ,0))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c r="Q459" s="5">
        <f>_xlfn.XLOOKUP(Orders[[#This Row],[Product ID]],products!$A$1:$A$49,products!$G$1:$G$49) *Orders[[#This Row],[Quantity]]</f>
        <v>6.1814999999999998</v>
      </c>
    </row>
    <row r="460" spans="1:17" x14ac:dyDescent="0.25">
      <c r="A460" s="2" t="s">
        <v>3076</v>
      </c>
      <c r="B460" s="3">
        <v>44707</v>
      </c>
      <c r="C460" s="2" t="s">
        <v>3077</v>
      </c>
      <c r="D460" t="s">
        <v>6155</v>
      </c>
      <c r="E460" s="2">
        <v>4</v>
      </c>
      <c r="F460" s="2" t="str">
        <f>_xlfn.XLOOKUP(C460,customers!$A$1:$A$1001,customers!$B$1:$B$1001,,0)</f>
        <v>Rodolfo Willoway</v>
      </c>
      <c r="G460" s="2" t="str">
        <f>IF(_xlfn.XLOOKUP(C460,customers!$A$1:$A$1001,customers!$C$1:$C$1001, ,0)=0,"",_xlfn.XLOOKUP(C460,customers!$A$1:$A$1001,customers!$C$1:$C$1001, ,0))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c r="Q460" s="5">
        <f>_xlfn.XLOOKUP(Orders[[#This Row],[Product ID]],products!$A$1:$A$49,products!$G$1:$G$49) *Orders[[#This Row],[Quantity]]</f>
        <v>4.05</v>
      </c>
    </row>
    <row r="461" spans="1:17" x14ac:dyDescent="0.25">
      <c r="A461" s="2" t="s">
        <v>3082</v>
      </c>
      <c r="B461" s="3">
        <v>43840</v>
      </c>
      <c r="C461" s="2" t="s">
        <v>3083</v>
      </c>
      <c r="D461" t="s">
        <v>6145</v>
      </c>
      <c r="E461" s="2">
        <v>5</v>
      </c>
      <c r="F461" s="2" t="str">
        <f>_xlfn.XLOOKUP(C461,customers!$A$1:$A$1001,customers!$B$1:$B$1001,,0)</f>
        <v>Alvis Elwin</v>
      </c>
      <c r="G461" s="2" t="str">
        <f>IF(_xlfn.XLOOKUP(C461,customers!$A$1:$A$1001,customers!$C$1:$C$1001, ,0)=0,"",_xlfn.XLOOKUP(C461,customers!$A$1:$A$1001,customers!$C$1:$C$1001, ,0))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c r="Q461" s="5">
        <f>_xlfn.XLOOKUP(Orders[[#This Row],[Product ID]],products!$A$1:$A$49,products!$G$1:$G$49) *Orders[[#This Row],[Quantity]]</f>
        <v>3.0907499999999999</v>
      </c>
    </row>
    <row r="462" spans="1:17" x14ac:dyDescent="0.25">
      <c r="A462" s="2" t="s">
        <v>3088</v>
      </c>
      <c r="B462" s="3">
        <v>43602</v>
      </c>
      <c r="C462" s="2" t="s">
        <v>3089</v>
      </c>
      <c r="D462" t="s">
        <v>6172</v>
      </c>
      <c r="E462" s="2">
        <v>3</v>
      </c>
      <c r="F462" s="2" t="str">
        <f>_xlfn.XLOOKUP(C462,customers!$A$1:$A$1001,customers!$B$1:$B$1001,,0)</f>
        <v>Araldo Bilbrook</v>
      </c>
      <c r="G462" s="2" t="str">
        <f>IF(_xlfn.XLOOKUP(C462,customers!$A$1:$A$1001,customers!$C$1:$C$1001, ,0)=0,"",_xlfn.XLOOKUP(C462,customers!$A$1:$A$1001,customers!$C$1:$C$1001, ,0))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c r="Q462" s="5">
        <f>_xlfn.XLOOKUP(Orders[[#This Row],[Product ID]],products!$A$1:$A$49,products!$G$1:$G$49) *Orders[[#This Row],[Quantity]]</f>
        <v>0.96659999999999979</v>
      </c>
    </row>
    <row r="463" spans="1:17" x14ac:dyDescent="0.25">
      <c r="A463" s="2" t="s">
        <v>3094</v>
      </c>
      <c r="B463" s="3">
        <v>44036</v>
      </c>
      <c r="C463" s="2" t="s">
        <v>3095</v>
      </c>
      <c r="D463" t="s">
        <v>6163</v>
      </c>
      <c r="E463" s="2">
        <v>4</v>
      </c>
      <c r="F463" s="2" t="str">
        <f>_xlfn.XLOOKUP(C463,customers!$A$1:$A$1001,customers!$B$1:$B$1001,,0)</f>
        <v>Ransell McKall</v>
      </c>
      <c r="G463" s="2" t="str">
        <f>IF(_xlfn.XLOOKUP(C463,customers!$A$1:$A$1001,customers!$C$1:$C$1001, ,0)=0,"",_xlfn.XLOOKUP(C463,customers!$A$1:$A$1001,customers!$C$1:$C$1001, ,0))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c r="Q463" s="5">
        <f>_xlfn.XLOOKUP(Orders[[#This Row],[Product ID]],products!$A$1:$A$49,products!$G$1:$G$49) *Orders[[#This Row],[Quantity]]</f>
        <v>0.64439999999999986</v>
      </c>
    </row>
    <row r="464" spans="1:17" x14ac:dyDescent="0.25">
      <c r="A464" s="2" t="s">
        <v>3100</v>
      </c>
      <c r="B464" s="3">
        <v>44124</v>
      </c>
      <c r="C464" s="2" t="s">
        <v>3101</v>
      </c>
      <c r="D464" t="s">
        <v>6147</v>
      </c>
      <c r="E464" s="2">
        <v>5</v>
      </c>
      <c r="F464" s="2" t="str">
        <f>_xlfn.XLOOKUP(C464,customers!$A$1:$A$1001,customers!$B$1:$B$1001,,0)</f>
        <v>Borg Daile</v>
      </c>
      <c r="G464" s="2" t="str">
        <f>IF(_xlfn.XLOOKUP(C464,customers!$A$1:$A$1001,customers!$C$1:$C$1001, ,0)=0,"",_xlfn.XLOOKUP(C464,customers!$A$1:$A$1001,customers!$C$1:$C$1001, ,0))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c r="Q464" s="5">
        <f>_xlfn.XLOOKUP(Orders[[#This Row],[Product ID]],products!$A$1:$A$49,products!$G$1:$G$49) *Orders[[#This Row],[Quantity]]</f>
        <v>4.4774999999999991</v>
      </c>
    </row>
    <row r="465" spans="1:17" x14ac:dyDescent="0.25">
      <c r="A465" s="2" t="s">
        <v>3106</v>
      </c>
      <c r="B465" s="3">
        <v>43730</v>
      </c>
      <c r="C465" s="2" t="s">
        <v>3107</v>
      </c>
      <c r="D465" t="s">
        <v>6141</v>
      </c>
      <c r="E465" s="2">
        <v>2</v>
      </c>
      <c r="F465" s="2" t="str">
        <f>_xlfn.XLOOKUP(C465,customers!$A$1:$A$1001,customers!$B$1:$B$1001,,0)</f>
        <v>Adolphe Treherne</v>
      </c>
      <c r="G465" s="2" t="str">
        <f>IF(_xlfn.XLOOKUP(C465,customers!$A$1:$A$1001,customers!$C$1:$C$1001, ,0)=0,"",_xlfn.XLOOKUP(C465,customers!$A$1:$A$1001,customers!$C$1:$C$1001, ,0))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c r="Q465" s="5">
        <f>_xlfn.XLOOKUP(Orders[[#This Row],[Product ID]],products!$A$1:$A$49,products!$G$1:$G$49) *Orders[[#This Row],[Quantity]]</f>
        <v>3.0249999999999999</v>
      </c>
    </row>
    <row r="466" spans="1:17"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 ,0)=0,"",_xlfn.XLOOKUP(C466,customers!$A$1:$A$1001,customers!$C$1:$C$1001, ,0))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c r="Q466" s="5">
        <f>_xlfn.XLOOKUP(Orders[[#This Row],[Product ID]],products!$A$1:$A$49,products!$G$1:$G$49) *Orders[[#This Row],[Quantity]]</f>
        <v>15.488199999999999</v>
      </c>
    </row>
    <row r="467" spans="1:17" x14ac:dyDescent="0.25">
      <c r="A467" s="2" t="s">
        <v>3118</v>
      </c>
      <c r="B467" s="3">
        <v>43814</v>
      </c>
      <c r="C467" s="2" t="s">
        <v>3119</v>
      </c>
      <c r="D467" t="s">
        <v>6149</v>
      </c>
      <c r="E467" s="2">
        <v>1</v>
      </c>
      <c r="F467" s="2" t="str">
        <f>_xlfn.XLOOKUP(C467,customers!$A$1:$A$1001,customers!$B$1:$B$1001,,0)</f>
        <v>Dick Drinkall</v>
      </c>
      <c r="G467" s="2" t="str">
        <f>IF(_xlfn.XLOOKUP(C467,customers!$A$1:$A$1001,customers!$C$1:$C$1001, ,0)=0,"",_xlfn.XLOOKUP(C467,customers!$A$1:$A$1001,customers!$C$1:$C$1001, ,0))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c r="Q467" s="5">
        <f>_xlfn.XLOOKUP(Orders[[#This Row],[Product ID]],products!$A$1:$A$49,products!$G$1:$G$49) *Orders[[#This Row],[Quantity]]</f>
        <v>1.2350999999999999</v>
      </c>
    </row>
    <row r="468" spans="1:17" x14ac:dyDescent="0.25">
      <c r="A468" s="2" t="s">
        <v>3124</v>
      </c>
      <c r="B468" s="3">
        <v>44171</v>
      </c>
      <c r="C468" s="2" t="s">
        <v>3125</v>
      </c>
      <c r="D468" t="s">
        <v>6154</v>
      </c>
      <c r="E468" s="2">
        <v>3</v>
      </c>
      <c r="F468" s="2" t="str">
        <f>_xlfn.XLOOKUP(C468,customers!$A$1:$A$1001,customers!$B$1:$B$1001,,0)</f>
        <v>Dagny Kornel</v>
      </c>
      <c r="G468" s="2" t="str">
        <f>IF(_xlfn.XLOOKUP(C468,customers!$A$1:$A$1001,customers!$C$1:$C$1001, ,0)=0,"",_xlfn.XLOOKUP(C468,customers!$A$1:$A$1001,customers!$C$1:$C$1001, ,0))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c r="Q468" s="5">
        <f>_xlfn.XLOOKUP(Orders[[#This Row],[Product ID]],products!$A$1:$A$49,products!$G$1:$G$49) *Orders[[#This Row],[Quantity]]</f>
        <v>0.80594999999999994</v>
      </c>
    </row>
    <row r="469" spans="1:17" x14ac:dyDescent="0.25">
      <c r="A469" s="2" t="s">
        <v>3130</v>
      </c>
      <c r="B469" s="3">
        <v>44536</v>
      </c>
      <c r="C469" s="2" t="s">
        <v>3131</v>
      </c>
      <c r="D469" t="s">
        <v>6158</v>
      </c>
      <c r="E469" s="2">
        <v>1</v>
      </c>
      <c r="F469" s="2" t="str">
        <f>_xlfn.XLOOKUP(C469,customers!$A$1:$A$1001,customers!$B$1:$B$1001,,0)</f>
        <v>Rhona Lequeux</v>
      </c>
      <c r="G469" s="2" t="str">
        <f>IF(_xlfn.XLOOKUP(C469,customers!$A$1:$A$1001,customers!$C$1:$C$1001, ,0)=0,"",_xlfn.XLOOKUP(C469,customers!$A$1:$A$1001,customers!$C$1:$C$1001, ,0))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c r="Q469" s="5">
        <f>_xlfn.XLOOKUP(Orders[[#This Row],[Product ID]],products!$A$1:$A$49,products!$G$1:$G$49) *Orders[[#This Row],[Quantity]]</f>
        <v>0.5373</v>
      </c>
    </row>
    <row r="470" spans="1:17" x14ac:dyDescent="0.25">
      <c r="A470" s="2" t="s">
        <v>3136</v>
      </c>
      <c r="B470" s="3">
        <v>44023</v>
      </c>
      <c r="C470" s="2" t="s">
        <v>3137</v>
      </c>
      <c r="D470" t="s">
        <v>6141</v>
      </c>
      <c r="E470" s="2">
        <v>3</v>
      </c>
      <c r="F470" s="2" t="str">
        <f>_xlfn.XLOOKUP(C470,customers!$A$1:$A$1001,customers!$B$1:$B$1001,,0)</f>
        <v>Julius Mccaull</v>
      </c>
      <c r="G470" s="2" t="str">
        <f>IF(_xlfn.XLOOKUP(C470,customers!$A$1:$A$1001,customers!$C$1:$C$1001, ,0)=0,"",_xlfn.XLOOKUP(C470,customers!$A$1:$A$1001,customers!$C$1:$C$1001, ,0))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c r="Q470" s="5">
        <f>_xlfn.XLOOKUP(Orders[[#This Row],[Product ID]],products!$A$1:$A$49,products!$G$1:$G$49) *Orders[[#This Row],[Quantity]]</f>
        <v>4.5374999999999996</v>
      </c>
    </row>
    <row r="471" spans="1:17" x14ac:dyDescent="0.25">
      <c r="A471" s="2" t="s">
        <v>3141</v>
      </c>
      <c r="B471" s="3">
        <v>44375</v>
      </c>
      <c r="C471" s="2" t="s">
        <v>3194</v>
      </c>
      <c r="D471" t="s">
        <v>6184</v>
      </c>
      <c r="E471" s="2">
        <v>5</v>
      </c>
      <c r="F471" s="2" t="str">
        <f>_xlfn.XLOOKUP(C471,customers!$A$1:$A$1001,customers!$B$1:$B$1001,,0)</f>
        <v>Ailey Brash</v>
      </c>
      <c r="G471" s="2" t="str">
        <f>IF(_xlfn.XLOOKUP(C471,customers!$A$1:$A$1001,customers!$C$1:$C$1001, ,0)=0,"",_xlfn.XLOOKUP(C471,customers!$A$1:$A$1001,customers!$C$1:$C$1001, ,0))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c r="Q471" s="5">
        <f>_xlfn.XLOOKUP(Orders[[#This Row],[Product ID]],products!$A$1:$A$49,products!$G$1:$G$49) *Orders[[#This Row],[Quantity]]</f>
        <v>2.45025</v>
      </c>
    </row>
    <row r="472" spans="1:17"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 ,0)=0,"",_xlfn.XLOOKUP(C472,customers!$A$1:$A$1001,customers!$C$1:$C$1001, ,0))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c r="Q472" s="5">
        <f>_xlfn.XLOOKUP(Orders[[#This Row],[Product ID]],products!$A$1:$A$49,products!$G$1:$G$49) *Orders[[#This Row],[Quantity]]</f>
        <v>0.60749999999999993</v>
      </c>
    </row>
    <row r="473" spans="1:17" x14ac:dyDescent="0.25">
      <c r="A473" s="2" t="s">
        <v>3153</v>
      </c>
      <c r="B473" s="3">
        <v>44644</v>
      </c>
      <c r="C473" s="2" t="s">
        <v>3154</v>
      </c>
      <c r="D473" t="s">
        <v>6181</v>
      </c>
      <c r="E473" s="2">
        <v>4</v>
      </c>
      <c r="F473" s="2" t="str">
        <f>_xlfn.XLOOKUP(C473,customers!$A$1:$A$1001,customers!$B$1:$B$1001,,0)</f>
        <v>Lamond Gheeraert</v>
      </c>
      <c r="G473" s="2" t="str">
        <f>IF(_xlfn.XLOOKUP(C473,customers!$A$1:$A$1001,customers!$C$1:$C$1001, ,0)=0,"",_xlfn.XLOOKUP(C473,customers!$A$1:$A$1001,customers!$C$1:$C$1001, ,0))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c r="Q473" s="5">
        <f>_xlfn.XLOOKUP(Orders[[#This Row],[Product ID]],products!$A$1:$A$49,products!$G$1:$G$49) *Orders[[#This Row],[Quantity]]</f>
        <v>17.401799999999998</v>
      </c>
    </row>
    <row r="474" spans="1:17" x14ac:dyDescent="0.25">
      <c r="A474" s="2" t="s">
        <v>3158</v>
      </c>
      <c r="B474" s="3">
        <v>43869</v>
      </c>
      <c r="C474" s="2" t="s">
        <v>3159</v>
      </c>
      <c r="D474" t="s">
        <v>6154</v>
      </c>
      <c r="E474" s="2">
        <v>2</v>
      </c>
      <c r="F474" s="2" t="str">
        <f>_xlfn.XLOOKUP(C474,customers!$A$1:$A$1001,customers!$B$1:$B$1001,,0)</f>
        <v>Roxine Drivers</v>
      </c>
      <c r="G474" s="2" t="str">
        <f>IF(_xlfn.XLOOKUP(C474,customers!$A$1:$A$1001,customers!$C$1:$C$1001, ,0)=0,"",_xlfn.XLOOKUP(C474,customers!$A$1:$A$1001,customers!$C$1:$C$1001, ,0))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c r="Q474" s="5">
        <f>_xlfn.XLOOKUP(Orders[[#This Row],[Product ID]],products!$A$1:$A$49,products!$G$1:$G$49) *Orders[[#This Row],[Quantity]]</f>
        <v>0.5373</v>
      </c>
    </row>
    <row r="475" spans="1:17" x14ac:dyDescent="0.25">
      <c r="A475" s="2" t="s">
        <v>3164</v>
      </c>
      <c r="B475" s="3">
        <v>44603</v>
      </c>
      <c r="C475" s="2" t="s">
        <v>3165</v>
      </c>
      <c r="D475" t="s">
        <v>6140</v>
      </c>
      <c r="E475" s="2">
        <v>2</v>
      </c>
      <c r="F475" s="2" t="str">
        <f>_xlfn.XLOOKUP(C475,customers!$A$1:$A$1001,customers!$B$1:$B$1001,,0)</f>
        <v>Heloise Zeal</v>
      </c>
      <c r="G475" s="2" t="str">
        <f>IF(_xlfn.XLOOKUP(C475,customers!$A$1:$A$1001,customers!$C$1:$C$1001, ,0)=0,"",_xlfn.XLOOKUP(C475,customers!$A$1:$A$1001,customers!$C$1:$C$1001, ,0))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c r="Q475" s="5">
        <f>_xlfn.XLOOKUP(Orders[[#This Row],[Product ID]],products!$A$1:$A$49,products!$G$1:$G$49) *Orders[[#This Row],[Quantity]]</f>
        <v>2.331</v>
      </c>
    </row>
    <row r="476" spans="1:17"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 ,0)=0,"",_xlfn.XLOOKUP(C476,customers!$A$1:$A$1001,customers!$C$1:$C$1001, ,0))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c r="Q476" s="5">
        <f>_xlfn.XLOOKUP(Orders[[#This Row],[Product ID]],products!$A$1:$A$49,products!$G$1:$G$49) *Orders[[#This Row],[Quantity]]</f>
        <v>3.4787499999999998</v>
      </c>
    </row>
    <row r="477" spans="1:17" x14ac:dyDescent="0.25">
      <c r="A477" s="2" t="s">
        <v>3176</v>
      </c>
      <c r="B477" s="3">
        <v>44767</v>
      </c>
      <c r="C477" s="2" t="s">
        <v>3177</v>
      </c>
      <c r="D477" t="s">
        <v>6159</v>
      </c>
      <c r="E477" s="2">
        <v>2</v>
      </c>
      <c r="F477" s="2" t="str">
        <f>_xlfn.XLOOKUP(C477,customers!$A$1:$A$1001,customers!$B$1:$B$1001,,0)</f>
        <v>Daryn Dibley</v>
      </c>
      <c r="G477" s="2" t="str">
        <f>IF(_xlfn.XLOOKUP(C477,customers!$A$1:$A$1001,customers!$C$1:$C$1001, ,0)=0,"",_xlfn.XLOOKUP(C477,customers!$A$1:$A$1001,customers!$C$1:$C$1001, ,0))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c r="Q477" s="5">
        <f>_xlfn.XLOOKUP(Orders[[#This Row],[Product ID]],products!$A$1:$A$49,products!$G$1:$G$49) *Orders[[#This Row],[Quantity]]</f>
        <v>1.1349</v>
      </c>
    </row>
    <row r="478" spans="1:17" x14ac:dyDescent="0.25">
      <c r="A478" s="2" t="s">
        <v>3181</v>
      </c>
      <c r="B478" s="3">
        <v>44274</v>
      </c>
      <c r="C478" s="2" t="s">
        <v>3182</v>
      </c>
      <c r="D478" t="s">
        <v>6184</v>
      </c>
      <c r="E478" s="2">
        <v>6</v>
      </c>
      <c r="F478" s="2" t="str">
        <f>_xlfn.XLOOKUP(C478,customers!$A$1:$A$1001,customers!$B$1:$B$1001,,0)</f>
        <v>Gardy Dimitriou</v>
      </c>
      <c r="G478" s="2" t="str">
        <f>IF(_xlfn.XLOOKUP(C478,customers!$A$1:$A$1001,customers!$C$1:$C$1001, ,0)=0,"",_xlfn.XLOOKUP(C478,customers!$A$1:$A$1001,customers!$C$1:$C$1001, ,0))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c r="Q478" s="5">
        <f>_xlfn.XLOOKUP(Orders[[#This Row],[Product ID]],products!$A$1:$A$49,products!$G$1:$G$49) *Orders[[#This Row],[Quantity]]</f>
        <v>2.9402999999999997</v>
      </c>
    </row>
    <row r="479" spans="1:17" x14ac:dyDescent="0.25">
      <c r="A479" s="2" t="s">
        <v>3187</v>
      </c>
      <c r="B479" s="3">
        <v>43962</v>
      </c>
      <c r="C479" s="2" t="s">
        <v>3188</v>
      </c>
      <c r="D479" t="s">
        <v>6159</v>
      </c>
      <c r="E479" s="2">
        <v>6</v>
      </c>
      <c r="F479" s="2" t="str">
        <f>_xlfn.XLOOKUP(C479,customers!$A$1:$A$1001,customers!$B$1:$B$1001,,0)</f>
        <v>Fanny Flanagan</v>
      </c>
      <c r="G479" s="2" t="str">
        <f>IF(_xlfn.XLOOKUP(C479,customers!$A$1:$A$1001,customers!$C$1:$C$1001, ,0)=0,"",_xlfn.XLOOKUP(C479,customers!$A$1:$A$1001,customers!$C$1:$C$1001, ,0))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c r="Q479" s="5">
        <f>_xlfn.XLOOKUP(Orders[[#This Row],[Product ID]],products!$A$1:$A$49,products!$G$1:$G$49) *Orders[[#This Row],[Quantity]]</f>
        <v>3.4047000000000001</v>
      </c>
    </row>
    <row r="480" spans="1:17" x14ac:dyDescent="0.25">
      <c r="A480" s="2" t="s">
        <v>3193</v>
      </c>
      <c r="B480" s="3">
        <v>43624</v>
      </c>
      <c r="C480" s="2" t="s">
        <v>3194</v>
      </c>
      <c r="D480" t="s">
        <v>6177</v>
      </c>
      <c r="E480" s="2">
        <v>6</v>
      </c>
      <c r="F480" s="2" t="str">
        <f>_xlfn.XLOOKUP(C480,customers!$A$1:$A$1001,customers!$B$1:$B$1001,,0)</f>
        <v>Ailey Brash</v>
      </c>
      <c r="G480" s="2" t="str">
        <f>IF(_xlfn.XLOOKUP(C480,customers!$A$1:$A$1001,customers!$C$1:$C$1001, ,0)=0,"",_xlfn.XLOOKUP(C480,customers!$A$1:$A$1001,customers!$C$1:$C$1001, ,0))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c r="Q480" s="5">
        <f>_xlfn.XLOOKUP(Orders[[#This Row],[Product ID]],products!$A$1:$A$49,products!$G$1:$G$49) *Orders[[#This Row],[Quantity]]</f>
        <v>3.2219999999999995</v>
      </c>
    </row>
    <row r="481" spans="1:17" x14ac:dyDescent="0.25">
      <c r="A481" s="2" t="s">
        <v>3193</v>
      </c>
      <c r="B481" s="3">
        <v>43624</v>
      </c>
      <c r="C481" s="2" t="s">
        <v>3194</v>
      </c>
      <c r="D481" t="s">
        <v>6166</v>
      </c>
      <c r="E481" s="2">
        <v>4</v>
      </c>
      <c r="F481" s="2" t="str">
        <f>_xlfn.XLOOKUP(C481,customers!$A$1:$A$1001,customers!$B$1:$B$1001,,0)</f>
        <v>Ailey Brash</v>
      </c>
      <c r="G481" s="2" t="str">
        <f>IF(_xlfn.XLOOKUP(C481,customers!$A$1:$A$1001,customers!$C$1:$C$1001, ,0)=0,"",_xlfn.XLOOKUP(C481,customers!$A$1:$A$1001,customers!$C$1:$C$1001, ,0))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c r="Q481" s="5">
        <f>_xlfn.XLOOKUP(Orders[[#This Row],[Product ID]],products!$A$1:$A$49,products!$G$1:$G$49) *Orders[[#This Row],[Quantity]]</f>
        <v>13.914999999999999</v>
      </c>
    </row>
    <row r="482" spans="1:17" x14ac:dyDescent="0.25">
      <c r="A482" s="2" t="s">
        <v>3193</v>
      </c>
      <c r="B482" s="3">
        <v>43624</v>
      </c>
      <c r="C482" s="2" t="s">
        <v>3194</v>
      </c>
      <c r="D482" t="s">
        <v>6156</v>
      </c>
      <c r="E482" s="2">
        <v>1</v>
      </c>
      <c r="F482" s="2" t="str">
        <f>_xlfn.XLOOKUP(C482,customers!$A$1:$A$1001,customers!$B$1:$B$1001,,0)</f>
        <v>Ailey Brash</v>
      </c>
      <c r="G482" s="2" t="str">
        <f>IF(_xlfn.XLOOKUP(C482,customers!$A$1:$A$1001,customers!$C$1:$C$1001, ,0)=0,"",_xlfn.XLOOKUP(C482,customers!$A$1:$A$1001,customers!$C$1:$C$1001, ,0))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c r="Q482" s="5">
        <f>_xlfn.XLOOKUP(Orders[[#This Row],[Product ID]],products!$A$1:$A$49,products!$G$1:$G$49) *Orders[[#This Row],[Quantity]]</f>
        <v>0.45374999999999999</v>
      </c>
    </row>
    <row r="483" spans="1:17" x14ac:dyDescent="0.25">
      <c r="A483" s="2" t="s">
        <v>3208</v>
      </c>
      <c r="B483" s="3">
        <v>43747</v>
      </c>
      <c r="C483" s="2" t="s">
        <v>3209</v>
      </c>
      <c r="D483" t="s">
        <v>6179</v>
      </c>
      <c r="E483" s="2">
        <v>2</v>
      </c>
      <c r="F483" s="2" t="str">
        <f>_xlfn.XLOOKUP(C483,customers!$A$1:$A$1001,customers!$B$1:$B$1001,,0)</f>
        <v>Nanny Izhakov</v>
      </c>
      <c r="G483" s="2" t="str">
        <f>IF(_xlfn.XLOOKUP(C483,customers!$A$1:$A$1001,customers!$C$1:$C$1001, ,0)=0,"",_xlfn.XLOOKUP(C483,customers!$A$1:$A$1001,customers!$C$1:$C$1001, ,0))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c r="Q483" s="5">
        <f>_xlfn.XLOOKUP(Orders[[#This Row],[Product ID]],products!$A$1:$A$49,products!$G$1:$G$49) *Orders[[#This Row],[Quantity]]</f>
        <v>1.4339999999999999</v>
      </c>
    </row>
    <row r="484" spans="1:17" x14ac:dyDescent="0.25">
      <c r="A484" s="2" t="s">
        <v>3214</v>
      </c>
      <c r="B484" s="3">
        <v>44247</v>
      </c>
      <c r="C484" s="2" t="s">
        <v>3215</v>
      </c>
      <c r="D484" t="s">
        <v>6185</v>
      </c>
      <c r="E484" s="2">
        <v>5</v>
      </c>
      <c r="F484" s="2" t="str">
        <f>_xlfn.XLOOKUP(C484,customers!$A$1:$A$1001,customers!$B$1:$B$1001,,0)</f>
        <v>Stanly Keets</v>
      </c>
      <c r="G484" s="2" t="str">
        <f>IF(_xlfn.XLOOKUP(C484,customers!$A$1:$A$1001,customers!$C$1:$C$1001, ,0)=0,"",_xlfn.XLOOKUP(C484,customers!$A$1:$A$1001,customers!$C$1:$C$1001, ,0))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c r="Q484" s="5">
        <f>_xlfn.XLOOKUP(Orders[[#This Row],[Product ID]],products!$A$1:$A$49,products!$G$1:$G$49) *Orders[[#This Row],[Quantity]]</f>
        <v>15.36975</v>
      </c>
    </row>
    <row r="485" spans="1:17" x14ac:dyDescent="0.25">
      <c r="A485" s="2" t="s">
        <v>3220</v>
      </c>
      <c r="B485" s="3">
        <v>43790</v>
      </c>
      <c r="C485" s="2" t="s">
        <v>3221</v>
      </c>
      <c r="D485" t="s">
        <v>6165</v>
      </c>
      <c r="E485" s="2">
        <v>2</v>
      </c>
      <c r="F485" s="2" t="str">
        <f>_xlfn.XLOOKUP(C485,customers!$A$1:$A$1001,customers!$B$1:$B$1001,,0)</f>
        <v>Orion Dyott</v>
      </c>
      <c r="G485" s="2" t="str">
        <f>IF(_xlfn.XLOOKUP(C485,customers!$A$1:$A$1001,customers!$C$1:$C$1001, ,0)=0,"",_xlfn.XLOOKUP(C485,customers!$A$1:$A$1001,customers!$C$1:$C$1001, ,0))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c r="Q485" s="5">
        <f>_xlfn.XLOOKUP(Orders[[#This Row],[Product ID]],products!$A$1:$A$49,products!$G$1:$G$49) *Orders[[#This Row],[Quantity]]</f>
        <v>7.7440999999999995</v>
      </c>
    </row>
    <row r="486" spans="1:17" x14ac:dyDescent="0.25">
      <c r="A486" s="2" t="s">
        <v>3225</v>
      </c>
      <c r="B486" s="3">
        <v>44479</v>
      </c>
      <c r="C486" s="2" t="s">
        <v>3226</v>
      </c>
      <c r="D486" t="s">
        <v>6161</v>
      </c>
      <c r="E486" s="2">
        <v>6</v>
      </c>
      <c r="F486" s="2" t="str">
        <f>_xlfn.XLOOKUP(C486,customers!$A$1:$A$1001,customers!$B$1:$B$1001,,0)</f>
        <v>Keefer Cake</v>
      </c>
      <c r="G486" s="2" t="str">
        <f>IF(_xlfn.XLOOKUP(C486,customers!$A$1:$A$1001,customers!$C$1:$C$1001, ,0)=0,"",_xlfn.XLOOKUP(C486,customers!$A$1:$A$1001,customers!$C$1:$C$1001, ,0))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c r="Q486" s="5">
        <f>_xlfn.XLOOKUP(Orders[[#This Row],[Product ID]],products!$A$1:$A$49,products!$G$1:$G$49) *Orders[[#This Row],[Quantity]]</f>
        <v>7.4177999999999997</v>
      </c>
    </row>
    <row r="487" spans="1:17" x14ac:dyDescent="0.25">
      <c r="A487" s="2" t="s">
        <v>3230</v>
      </c>
      <c r="B487" s="3">
        <v>44413</v>
      </c>
      <c r="C487" s="2" t="s">
        <v>3231</v>
      </c>
      <c r="D487" t="s">
        <v>6178</v>
      </c>
      <c r="E487" s="2">
        <v>6</v>
      </c>
      <c r="F487" s="2" t="str">
        <f>_xlfn.XLOOKUP(C487,customers!$A$1:$A$1001,customers!$B$1:$B$1001,,0)</f>
        <v>Morna Hansed</v>
      </c>
      <c r="G487" s="2" t="str">
        <f>IF(_xlfn.XLOOKUP(C487,customers!$A$1:$A$1001,customers!$C$1:$C$1001, ,0)=0,"",_xlfn.XLOOKUP(C487,customers!$A$1:$A$1001,customers!$C$1:$C$1001, ,0))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c r="Q487" s="5">
        <f>_xlfn.XLOOKUP(Orders[[#This Row],[Product ID]],products!$A$1:$A$49,products!$G$1:$G$49) *Orders[[#This Row],[Quantity]]</f>
        <v>1.2905999999999997</v>
      </c>
    </row>
    <row r="488" spans="1:17" x14ac:dyDescent="0.25">
      <c r="A488" s="2" t="s">
        <v>3236</v>
      </c>
      <c r="B488" s="3">
        <v>44043</v>
      </c>
      <c r="C488" s="2" t="s">
        <v>3237</v>
      </c>
      <c r="D488" t="s">
        <v>6160</v>
      </c>
      <c r="E488" s="2">
        <v>6</v>
      </c>
      <c r="F488" s="2" t="str">
        <f>_xlfn.XLOOKUP(C488,customers!$A$1:$A$1001,customers!$B$1:$B$1001,,0)</f>
        <v>Franny Kienlein</v>
      </c>
      <c r="G488" s="2" t="str">
        <f>IF(_xlfn.XLOOKUP(C488,customers!$A$1:$A$1001,customers!$C$1:$C$1001, ,0)=0,"",_xlfn.XLOOKUP(C488,customers!$A$1:$A$1001,customers!$C$1:$C$1001, ,0))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c r="Q488" s="5">
        <f>_xlfn.XLOOKUP(Orders[[#This Row],[Product ID]],products!$A$1:$A$49,products!$G$1:$G$49) *Orders[[#This Row],[Quantity]]</f>
        <v>6.8094000000000001</v>
      </c>
    </row>
    <row r="489" spans="1:17"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 ,0)=0,"",_xlfn.XLOOKUP(C489,customers!$A$1:$A$1001,customers!$C$1:$C$1001, ,0))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c r="Q489" s="5">
        <f>_xlfn.XLOOKUP(Orders[[#This Row],[Product ID]],products!$A$1:$A$49,products!$G$1:$G$49) *Orders[[#This Row],[Quantity]]</f>
        <v>8.0190000000000001</v>
      </c>
    </row>
    <row r="490" spans="1:17" x14ac:dyDescent="0.25">
      <c r="A490" s="2" t="s">
        <v>3248</v>
      </c>
      <c r="B490" s="3">
        <v>43954</v>
      </c>
      <c r="C490" s="2" t="s">
        <v>3249</v>
      </c>
      <c r="D490" t="s">
        <v>6174</v>
      </c>
      <c r="E490" s="2">
        <v>5</v>
      </c>
      <c r="F490" s="2" t="str">
        <f>_xlfn.XLOOKUP(C490,customers!$A$1:$A$1001,customers!$B$1:$B$1001,,0)</f>
        <v>Becky Semkins</v>
      </c>
      <c r="G490" s="2" t="str">
        <f>IF(_xlfn.XLOOKUP(C490,customers!$A$1:$A$1001,customers!$C$1:$C$1001, ,0)=0,"",_xlfn.XLOOKUP(C490,customers!$A$1:$A$1001,customers!$C$1:$C$1001, ,0))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c r="Q490" s="5">
        <f>_xlfn.XLOOKUP(Orders[[#This Row],[Product ID]],products!$A$1:$A$49,products!$G$1:$G$49) *Orders[[#This Row],[Quantity]]</f>
        <v>0.89549999999999996</v>
      </c>
    </row>
    <row r="491" spans="1:17" x14ac:dyDescent="0.25">
      <c r="A491" s="2" t="s">
        <v>3254</v>
      </c>
      <c r="B491" s="3">
        <v>43654</v>
      </c>
      <c r="C491" s="2" t="s">
        <v>3255</v>
      </c>
      <c r="D491" t="s">
        <v>6170</v>
      </c>
      <c r="E491" s="2">
        <v>6</v>
      </c>
      <c r="F491" s="2" t="str">
        <f>_xlfn.XLOOKUP(C491,customers!$A$1:$A$1001,customers!$B$1:$B$1001,,0)</f>
        <v>Sean Lorenzetti</v>
      </c>
      <c r="G491" s="2" t="str">
        <f>IF(_xlfn.XLOOKUP(C491,customers!$A$1:$A$1001,customers!$C$1:$C$1001, ,0)=0,"",_xlfn.XLOOKUP(C491,customers!$A$1:$A$1001,customers!$C$1:$C$1001, ,0))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c r="Q491" s="5">
        <f>_xlfn.XLOOKUP(Orders[[#This Row],[Product ID]],products!$A$1:$A$49,products!$G$1:$G$49) *Orders[[#This Row],[Quantity]]</f>
        <v>12.363000000000001</v>
      </c>
    </row>
    <row r="492" spans="1:17" x14ac:dyDescent="0.25">
      <c r="A492" s="2" t="s">
        <v>3260</v>
      </c>
      <c r="B492" s="3">
        <v>43764</v>
      </c>
      <c r="C492" s="2" t="s">
        <v>3261</v>
      </c>
      <c r="D492" t="s">
        <v>6169</v>
      </c>
      <c r="E492" s="2">
        <v>2</v>
      </c>
      <c r="F492" s="2" t="str">
        <f>_xlfn.XLOOKUP(C492,customers!$A$1:$A$1001,customers!$B$1:$B$1001,,0)</f>
        <v>Bob Giannazzi</v>
      </c>
      <c r="G492" s="2" t="str">
        <f>IF(_xlfn.XLOOKUP(C492,customers!$A$1:$A$1001,customers!$C$1:$C$1001, ,0)=0,"",_xlfn.XLOOKUP(C492,customers!$A$1:$A$1001,customers!$C$1:$C$1001, ,0))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c r="Q492" s="5">
        <f>_xlfn.XLOOKUP(Orders[[#This Row],[Product ID]],products!$A$1:$A$49,products!$G$1:$G$49) *Orders[[#This Row],[Quantity]]</f>
        <v>2.0202</v>
      </c>
    </row>
    <row r="493" spans="1:17" x14ac:dyDescent="0.25">
      <c r="A493" s="2" t="s">
        <v>3266</v>
      </c>
      <c r="B493" s="3">
        <v>44101</v>
      </c>
      <c r="C493" s="2" t="s">
        <v>3267</v>
      </c>
      <c r="D493" t="s">
        <v>6150</v>
      </c>
      <c r="E493" s="2">
        <v>6</v>
      </c>
      <c r="F493" s="2" t="str">
        <f>_xlfn.XLOOKUP(C493,customers!$A$1:$A$1001,customers!$B$1:$B$1001,,0)</f>
        <v>Kendra Backshell</v>
      </c>
      <c r="G493" s="2" t="str">
        <f>IF(_xlfn.XLOOKUP(C493,customers!$A$1:$A$1001,customers!$C$1:$C$1001, ,0)=0,"",_xlfn.XLOOKUP(C493,customers!$A$1:$A$1001,customers!$C$1:$C$1001, ,0))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c r="Q493" s="5">
        <f>_xlfn.XLOOKUP(Orders[[#This Row],[Product ID]],products!$A$1:$A$49,products!$G$1:$G$49) *Orders[[#This Row],[Quantity]]</f>
        <v>3.0303</v>
      </c>
    </row>
    <row r="494" spans="1:17" x14ac:dyDescent="0.25">
      <c r="A494" s="2" t="s">
        <v>3271</v>
      </c>
      <c r="B494" s="3">
        <v>44620</v>
      </c>
      <c r="C494" s="2" t="s">
        <v>3272</v>
      </c>
      <c r="D494" t="s">
        <v>6156</v>
      </c>
      <c r="E494" s="2">
        <v>1</v>
      </c>
      <c r="F494" s="2" t="str">
        <f>_xlfn.XLOOKUP(C494,customers!$A$1:$A$1001,customers!$B$1:$B$1001,,0)</f>
        <v>Uriah Lethbrig</v>
      </c>
      <c r="G494" s="2" t="str">
        <f>IF(_xlfn.XLOOKUP(C494,customers!$A$1:$A$1001,customers!$C$1:$C$1001, ,0)=0,"",_xlfn.XLOOKUP(C494,customers!$A$1:$A$1001,customers!$C$1:$C$1001, ,0))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c r="Q494" s="5">
        <f>_xlfn.XLOOKUP(Orders[[#This Row],[Product ID]],products!$A$1:$A$49,products!$G$1:$G$49) *Orders[[#This Row],[Quantity]]</f>
        <v>0.45374999999999999</v>
      </c>
    </row>
    <row r="495" spans="1:17" x14ac:dyDescent="0.25">
      <c r="A495" s="2" t="s">
        <v>3277</v>
      </c>
      <c r="B495" s="3">
        <v>44090</v>
      </c>
      <c r="C495" s="2" t="s">
        <v>3278</v>
      </c>
      <c r="D495" t="s">
        <v>6146</v>
      </c>
      <c r="E495" s="2">
        <v>6</v>
      </c>
      <c r="F495" s="2" t="str">
        <f>_xlfn.XLOOKUP(C495,customers!$A$1:$A$1001,customers!$B$1:$B$1001,,0)</f>
        <v>Sky Farnish</v>
      </c>
      <c r="G495" s="2" t="str">
        <f>IF(_xlfn.XLOOKUP(C495,customers!$A$1:$A$1001,customers!$C$1:$C$1001, ,0)=0,"",_xlfn.XLOOKUP(C495,customers!$A$1:$A$1001,customers!$C$1:$C$1001, ,0))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c r="Q495" s="5">
        <f>_xlfn.XLOOKUP(Orders[[#This Row],[Product ID]],products!$A$1:$A$49,products!$G$1:$G$49) *Orders[[#This Row],[Quantity]]</f>
        <v>2.1491999999999996</v>
      </c>
    </row>
    <row r="496" spans="1:17" x14ac:dyDescent="0.25">
      <c r="A496" s="2" t="s">
        <v>3283</v>
      </c>
      <c r="B496" s="3">
        <v>44132</v>
      </c>
      <c r="C496" s="2" t="s">
        <v>3284</v>
      </c>
      <c r="D496" t="s">
        <v>6170</v>
      </c>
      <c r="E496" s="2">
        <v>2</v>
      </c>
      <c r="F496" s="2" t="str">
        <f>_xlfn.XLOOKUP(C496,customers!$A$1:$A$1001,customers!$B$1:$B$1001,,0)</f>
        <v>Felicia Jecock</v>
      </c>
      <c r="G496" s="2" t="str">
        <f>IF(_xlfn.XLOOKUP(C496,customers!$A$1:$A$1001,customers!$C$1:$C$1001, ,0)=0,"",_xlfn.XLOOKUP(C496,customers!$A$1:$A$1001,customers!$C$1:$C$1001, ,0))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c r="Q496" s="5">
        <f>_xlfn.XLOOKUP(Orders[[#This Row],[Product ID]],products!$A$1:$A$49,products!$G$1:$G$49) *Orders[[#This Row],[Quantity]]</f>
        <v>4.1210000000000004</v>
      </c>
    </row>
    <row r="497" spans="1:17"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 ,0)=0,"",_xlfn.XLOOKUP(C497,customers!$A$1:$A$1001,customers!$C$1:$C$1001, ,0))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c r="Q497" s="5">
        <f>_xlfn.XLOOKUP(Orders[[#This Row],[Product ID]],products!$A$1:$A$49,products!$G$1:$G$49) *Orders[[#This Row],[Quantity]]</f>
        <v>10.302500000000002</v>
      </c>
    </row>
    <row r="498" spans="1:17" x14ac:dyDescent="0.25">
      <c r="A498" s="2" t="s">
        <v>3294</v>
      </c>
      <c r="B498" s="3">
        <v>44438</v>
      </c>
      <c r="C498" s="2" t="s">
        <v>3295</v>
      </c>
      <c r="D498" t="s">
        <v>6153</v>
      </c>
      <c r="E498" s="2">
        <v>3</v>
      </c>
      <c r="F498" s="2" t="str">
        <f>_xlfn.XLOOKUP(C498,customers!$A$1:$A$1001,customers!$B$1:$B$1001,,0)</f>
        <v>Hamlen Pallister</v>
      </c>
      <c r="G498" s="2" t="str">
        <f>IF(_xlfn.XLOOKUP(C498,customers!$A$1:$A$1001,customers!$C$1:$C$1001, ,0)=0,"",_xlfn.XLOOKUP(C498,customers!$A$1:$A$1001,customers!$C$1:$C$1001, ,0))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c r="Q498" s="5">
        <f>_xlfn.XLOOKUP(Orders[[#This Row],[Product ID]],products!$A$1:$A$49,products!$G$1:$G$49) *Orders[[#This Row],[Quantity]]</f>
        <v>1.2028500000000002</v>
      </c>
    </row>
    <row r="499" spans="1:17" x14ac:dyDescent="0.25">
      <c r="A499" s="2" t="s">
        <v>3300</v>
      </c>
      <c r="B499" s="3">
        <v>44351</v>
      </c>
      <c r="C499" s="2" t="s">
        <v>3301</v>
      </c>
      <c r="D499" t="s">
        <v>6147</v>
      </c>
      <c r="E499" s="2">
        <v>4</v>
      </c>
      <c r="F499" s="2" t="str">
        <f>_xlfn.XLOOKUP(C499,customers!$A$1:$A$1001,customers!$B$1:$B$1001,,0)</f>
        <v>Chantal Mersh</v>
      </c>
      <c r="G499" s="2" t="str">
        <f>IF(_xlfn.XLOOKUP(C499,customers!$A$1:$A$1001,customers!$C$1:$C$1001, ,0)=0,"",_xlfn.XLOOKUP(C499,customers!$A$1:$A$1001,customers!$C$1:$C$1001, ,0))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c r="Q499" s="5">
        <f>_xlfn.XLOOKUP(Orders[[#This Row],[Product ID]],products!$A$1:$A$49,products!$G$1:$G$49) *Orders[[#This Row],[Quantity]]</f>
        <v>3.5819999999999994</v>
      </c>
    </row>
    <row r="500" spans="1:17" x14ac:dyDescent="0.25">
      <c r="A500" s="2" t="s">
        <v>3307</v>
      </c>
      <c r="B500" s="3">
        <v>44159</v>
      </c>
      <c r="C500" s="2" t="s">
        <v>3368</v>
      </c>
      <c r="D500" t="s">
        <v>6138</v>
      </c>
      <c r="E500" s="2">
        <v>5</v>
      </c>
      <c r="F500" s="2" t="str">
        <f>_xlfn.XLOOKUP(C500,customers!$A$1:$A$1001,customers!$B$1:$B$1001,,0)</f>
        <v>Marja Urion</v>
      </c>
      <c r="G500" s="2" t="str">
        <f>IF(_xlfn.XLOOKUP(C500,customers!$A$1:$A$1001,customers!$C$1:$C$1001, ,0)=0,"",_xlfn.XLOOKUP(C500,customers!$A$1:$A$1001,customers!$C$1:$C$1001, ,0))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c r="Q500" s="5">
        <f>_xlfn.XLOOKUP(Orders[[#This Row],[Product ID]],products!$A$1:$A$49,products!$G$1:$G$49) *Orders[[#This Row],[Quantity]]</f>
        <v>2.9849999999999999</v>
      </c>
    </row>
    <row r="501" spans="1:17" x14ac:dyDescent="0.25">
      <c r="A501" s="2" t="s">
        <v>3313</v>
      </c>
      <c r="B501" s="3">
        <v>44003</v>
      </c>
      <c r="C501" s="2" t="s">
        <v>3314</v>
      </c>
      <c r="D501" t="s">
        <v>6163</v>
      </c>
      <c r="E501" s="2">
        <v>3</v>
      </c>
      <c r="F501" s="2" t="str">
        <f>_xlfn.XLOOKUP(C501,customers!$A$1:$A$1001,customers!$B$1:$B$1001,,0)</f>
        <v>Malynda Purbrick</v>
      </c>
      <c r="G501" s="2" t="str">
        <f>IF(_xlfn.XLOOKUP(C501,customers!$A$1:$A$1001,customers!$C$1:$C$1001, ,0)=0,"",_xlfn.XLOOKUP(C501,customers!$A$1:$A$1001,customers!$C$1:$C$1001, ,0))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c r="Q501" s="5">
        <f>_xlfn.XLOOKUP(Orders[[#This Row],[Product ID]],products!$A$1:$A$49,products!$G$1:$G$49) *Orders[[#This Row],[Quantity]]</f>
        <v>0.4832999999999999</v>
      </c>
    </row>
    <row r="502" spans="1:17" x14ac:dyDescent="0.25">
      <c r="A502" s="2" t="s">
        <v>3318</v>
      </c>
      <c r="B502" s="3">
        <v>44025</v>
      </c>
      <c r="C502" s="2" t="s">
        <v>3319</v>
      </c>
      <c r="D502" t="s">
        <v>6179</v>
      </c>
      <c r="E502" s="2">
        <v>4</v>
      </c>
      <c r="F502" s="2" t="str">
        <f>_xlfn.XLOOKUP(C502,customers!$A$1:$A$1001,customers!$B$1:$B$1001,,0)</f>
        <v>Alf Housaman</v>
      </c>
      <c r="G502" s="2" t="str">
        <f>IF(_xlfn.XLOOKUP(C502,customers!$A$1:$A$1001,customers!$C$1:$C$1001, ,0)=0,"",_xlfn.XLOOKUP(C502,customers!$A$1:$A$1001,customers!$C$1:$C$1001, ,0))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c r="Q502" s="5">
        <f>_xlfn.XLOOKUP(Orders[[#This Row],[Product ID]],products!$A$1:$A$49,products!$G$1:$G$49) *Orders[[#This Row],[Quantity]]</f>
        <v>2.8679999999999999</v>
      </c>
    </row>
    <row r="503" spans="1:17" x14ac:dyDescent="0.25">
      <c r="A503" s="2" t="s">
        <v>3323</v>
      </c>
      <c r="B503" s="3">
        <v>43467</v>
      </c>
      <c r="C503" s="2" t="s">
        <v>3324</v>
      </c>
      <c r="D503" t="s">
        <v>6174</v>
      </c>
      <c r="E503" s="2">
        <v>4</v>
      </c>
      <c r="F503" s="2" t="str">
        <f>_xlfn.XLOOKUP(C503,customers!$A$1:$A$1001,customers!$B$1:$B$1001,,0)</f>
        <v>Gladi Ducker</v>
      </c>
      <c r="G503" s="2" t="str">
        <f>IF(_xlfn.XLOOKUP(C503,customers!$A$1:$A$1001,customers!$C$1:$C$1001, ,0)=0,"",_xlfn.XLOOKUP(C503,customers!$A$1:$A$1001,customers!$C$1:$C$1001, ,0))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c r="Q503" s="5">
        <f>_xlfn.XLOOKUP(Orders[[#This Row],[Product ID]],products!$A$1:$A$49,products!$G$1:$G$49) *Orders[[#This Row],[Quantity]]</f>
        <v>0.71639999999999993</v>
      </c>
    </row>
    <row r="504" spans="1:17" x14ac:dyDescent="0.25">
      <c r="A504" s="2" t="s">
        <v>3323</v>
      </c>
      <c r="B504" s="3">
        <v>43467</v>
      </c>
      <c r="C504" s="2" t="s">
        <v>3324</v>
      </c>
      <c r="D504" t="s">
        <v>6156</v>
      </c>
      <c r="E504" s="2">
        <v>4</v>
      </c>
      <c r="F504" s="2" t="str">
        <f>_xlfn.XLOOKUP(C504,customers!$A$1:$A$1001,customers!$B$1:$B$1001,,0)</f>
        <v>Gladi Ducker</v>
      </c>
      <c r="G504" s="2" t="str">
        <f>IF(_xlfn.XLOOKUP(C504,customers!$A$1:$A$1001,customers!$C$1:$C$1001, ,0)=0,"",_xlfn.XLOOKUP(C504,customers!$A$1:$A$1001,customers!$C$1:$C$1001, ,0))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c r="Q504" s="5">
        <f>_xlfn.XLOOKUP(Orders[[#This Row],[Product ID]],products!$A$1:$A$49,products!$G$1:$G$49) *Orders[[#This Row],[Quantity]]</f>
        <v>1.8149999999999999</v>
      </c>
    </row>
    <row r="505" spans="1:17" x14ac:dyDescent="0.25">
      <c r="A505" s="2" t="s">
        <v>3323</v>
      </c>
      <c r="B505" s="3">
        <v>43467</v>
      </c>
      <c r="C505" s="2" t="s">
        <v>3324</v>
      </c>
      <c r="D505" t="s">
        <v>6143</v>
      </c>
      <c r="E505" s="2">
        <v>4</v>
      </c>
      <c r="F505" s="2" t="str">
        <f>_xlfn.XLOOKUP(C505,customers!$A$1:$A$1001,customers!$B$1:$B$1001,,0)</f>
        <v>Gladi Ducker</v>
      </c>
      <c r="G505" s="2" t="str">
        <f>IF(_xlfn.XLOOKUP(C505,customers!$A$1:$A$1001,customers!$C$1:$C$1001, ,0)=0,"",_xlfn.XLOOKUP(C505,customers!$A$1:$A$1001,customers!$C$1:$C$1001, ,0))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c r="Q505" s="5">
        <f>_xlfn.XLOOKUP(Orders[[#This Row],[Product ID]],products!$A$1:$A$49,products!$G$1:$G$49) *Orders[[#This Row],[Quantity]]</f>
        <v>6.734</v>
      </c>
    </row>
    <row r="506" spans="1:17" x14ac:dyDescent="0.25">
      <c r="A506" s="2" t="s">
        <v>3323</v>
      </c>
      <c r="B506" s="3">
        <v>43467</v>
      </c>
      <c r="C506" s="2" t="s">
        <v>3324</v>
      </c>
      <c r="D506" t="s">
        <v>6145</v>
      </c>
      <c r="E506" s="2">
        <v>3</v>
      </c>
      <c r="F506" s="2" t="str">
        <f>_xlfn.XLOOKUP(C506,customers!$A$1:$A$1001,customers!$B$1:$B$1001,,0)</f>
        <v>Gladi Ducker</v>
      </c>
      <c r="G506" s="2" t="str">
        <f>IF(_xlfn.XLOOKUP(C506,customers!$A$1:$A$1001,customers!$C$1:$C$1001, ,0)=0,"",_xlfn.XLOOKUP(C506,customers!$A$1:$A$1001,customers!$C$1:$C$1001, ,0))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c r="Q506" s="5">
        <f>_xlfn.XLOOKUP(Orders[[#This Row],[Product ID]],products!$A$1:$A$49,products!$G$1:$G$49) *Orders[[#This Row],[Quantity]]</f>
        <v>1.8544499999999999</v>
      </c>
    </row>
    <row r="507" spans="1:17" x14ac:dyDescent="0.25">
      <c r="A507" s="2" t="s">
        <v>3343</v>
      </c>
      <c r="B507" s="3">
        <v>44609</v>
      </c>
      <c r="C507" s="2" t="s">
        <v>3344</v>
      </c>
      <c r="D507" t="s">
        <v>6159</v>
      </c>
      <c r="E507" s="2">
        <v>6</v>
      </c>
      <c r="F507" s="2" t="str">
        <f>_xlfn.XLOOKUP(C507,customers!$A$1:$A$1001,customers!$B$1:$B$1001,,0)</f>
        <v>Wain Stearley</v>
      </c>
      <c r="G507" s="2" t="str">
        <f>IF(_xlfn.XLOOKUP(C507,customers!$A$1:$A$1001,customers!$C$1:$C$1001, ,0)=0,"",_xlfn.XLOOKUP(C507,customers!$A$1:$A$1001,customers!$C$1:$C$1001, ,0))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c r="Q507" s="5">
        <f>_xlfn.XLOOKUP(Orders[[#This Row],[Product ID]],products!$A$1:$A$49,products!$G$1:$G$49) *Orders[[#This Row],[Quantity]]</f>
        <v>3.4047000000000001</v>
      </c>
    </row>
    <row r="508" spans="1:17"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 ,0)=0,"",_xlfn.XLOOKUP(C508,customers!$A$1:$A$1001,customers!$C$1:$C$1001, ,0))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c r="Q508" s="5">
        <f>_xlfn.XLOOKUP(Orders[[#This Row],[Product ID]],products!$A$1:$A$49,products!$G$1:$G$49) *Orders[[#This Row],[Quantity]]</f>
        <v>2.331</v>
      </c>
    </row>
    <row r="509" spans="1:17" x14ac:dyDescent="0.25">
      <c r="A509" s="2" t="s">
        <v>3355</v>
      </c>
      <c r="B509" s="3">
        <v>43516</v>
      </c>
      <c r="C509" s="2" t="s">
        <v>3356</v>
      </c>
      <c r="D509" t="s">
        <v>6182</v>
      </c>
      <c r="E509" s="2">
        <v>3</v>
      </c>
      <c r="F509" s="2" t="str">
        <f>_xlfn.XLOOKUP(C509,customers!$A$1:$A$1001,customers!$B$1:$B$1001,,0)</f>
        <v>Perry Lyfield</v>
      </c>
      <c r="G509" s="2" t="str">
        <f>IF(_xlfn.XLOOKUP(C509,customers!$A$1:$A$1001,customers!$C$1:$C$1001, ,0)=0,"",_xlfn.XLOOKUP(C509,customers!$A$1:$A$1001,customers!$C$1:$C$1001, ,0))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c r="Q509" s="5">
        <f>_xlfn.XLOOKUP(Orders[[#This Row],[Product ID]],products!$A$1:$A$49,products!$G$1:$G$49) *Orders[[#This Row],[Quantity]]</f>
        <v>8.0419499999999982</v>
      </c>
    </row>
    <row r="510" spans="1:17" x14ac:dyDescent="0.25">
      <c r="A510" s="2" t="s">
        <v>3361</v>
      </c>
      <c r="B510" s="3">
        <v>44210</v>
      </c>
      <c r="C510" s="2" t="s">
        <v>3362</v>
      </c>
      <c r="D510" t="s">
        <v>6169</v>
      </c>
      <c r="E510" s="2">
        <v>6</v>
      </c>
      <c r="F510" s="2" t="str">
        <f>_xlfn.XLOOKUP(C510,customers!$A$1:$A$1001,customers!$B$1:$B$1001,,0)</f>
        <v>Heall Perris</v>
      </c>
      <c r="G510" s="2" t="str">
        <f>IF(_xlfn.XLOOKUP(C510,customers!$A$1:$A$1001,customers!$C$1:$C$1001, ,0)=0,"",_xlfn.XLOOKUP(C510,customers!$A$1:$A$1001,customers!$C$1:$C$1001, ,0))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c r="Q510" s="5">
        <f>_xlfn.XLOOKUP(Orders[[#This Row],[Product ID]],products!$A$1:$A$49,products!$G$1:$G$49) *Orders[[#This Row],[Quantity]]</f>
        <v>6.0606</v>
      </c>
    </row>
    <row r="511" spans="1:17" x14ac:dyDescent="0.25">
      <c r="A511" s="2" t="s">
        <v>3367</v>
      </c>
      <c r="B511" s="3">
        <v>43785</v>
      </c>
      <c r="C511" s="2" t="s">
        <v>3368</v>
      </c>
      <c r="D511" t="s">
        <v>6147</v>
      </c>
      <c r="E511" s="2">
        <v>3</v>
      </c>
      <c r="F511" s="2" t="str">
        <f>_xlfn.XLOOKUP(C511,customers!$A$1:$A$1001,customers!$B$1:$B$1001,,0)</f>
        <v>Marja Urion</v>
      </c>
      <c r="G511" s="2" t="str">
        <f>IF(_xlfn.XLOOKUP(C511,customers!$A$1:$A$1001,customers!$C$1:$C$1001, ,0)=0,"",_xlfn.XLOOKUP(C511,customers!$A$1:$A$1001,customers!$C$1:$C$1001, ,0))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c r="Q511" s="5">
        <f>_xlfn.XLOOKUP(Orders[[#This Row],[Product ID]],products!$A$1:$A$49,products!$G$1:$G$49) *Orders[[#This Row],[Quantity]]</f>
        <v>2.6864999999999997</v>
      </c>
    </row>
    <row r="512" spans="1:17" x14ac:dyDescent="0.25">
      <c r="A512" s="2" t="s">
        <v>3373</v>
      </c>
      <c r="B512" s="3">
        <v>43803</v>
      </c>
      <c r="C512" s="2" t="s">
        <v>3374</v>
      </c>
      <c r="D512" t="s">
        <v>6178</v>
      </c>
      <c r="E512" s="2">
        <v>3</v>
      </c>
      <c r="F512" s="2" t="str">
        <f>_xlfn.XLOOKUP(C512,customers!$A$1:$A$1001,customers!$B$1:$B$1001,,0)</f>
        <v>Camellia Kid</v>
      </c>
      <c r="G512" s="2" t="str">
        <f>IF(_xlfn.XLOOKUP(C512,customers!$A$1:$A$1001,customers!$C$1:$C$1001, ,0)=0,"",_xlfn.XLOOKUP(C512,customers!$A$1:$A$1001,customers!$C$1:$C$1001, ,0))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c r="Q512" s="5">
        <f>_xlfn.XLOOKUP(Orders[[#This Row],[Product ID]],products!$A$1:$A$49,products!$G$1:$G$49) *Orders[[#This Row],[Quantity]]</f>
        <v>0.64529999999999987</v>
      </c>
    </row>
    <row r="513" spans="1:17" x14ac:dyDescent="0.25">
      <c r="A513" s="2" t="s">
        <v>3379</v>
      </c>
      <c r="B513" s="3">
        <v>44043</v>
      </c>
      <c r="C513" s="2" t="s">
        <v>3380</v>
      </c>
      <c r="D513" t="s">
        <v>6152</v>
      </c>
      <c r="E513" s="2">
        <v>4</v>
      </c>
      <c r="F513" s="2" t="str">
        <f>_xlfn.XLOOKUP(C513,customers!$A$1:$A$1001,customers!$B$1:$B$1001,,0)</f>
        <v>Carolann Beine</v>
      </c>
      <c r="G513" s="2" t="str">
        <f>IF(_xlfn.XLOOKUP(C513,customers!$A$1:$A$1001,customers!$C$1:$C$1001, ,0)=0,"",_xlfn.XLOOKUP(C513,customers!$A$1:$A$1001,customers!$C$1:$C$1001, ,0))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c r="Q513" s="5">
        <f>_xlfn.XLOOKUP(Orders[[#This Row],[Product ID]],products!$A$1:$A$49,products!$G$1:$G$49) *Orders[[#This Row],[Quantity]]</f>
        <v>1.2149999999999999</v>
      </c>
    </row>
    <row r="514" spans="1:17" x14ac:dyDescent="0.25">
      <c r="A514" s="2" t="s">
        <v>3385</v>
      </c>
      <c r="B514" s="3">
        <v>43535</v>
      </c>
      <c r="C514" s="2" t="s">
        <v>3386</v>
      </c>
      <c r="D514" t="s">
        <v>6170</v>
      </c>
      <c r="E514" s="2">
        <v>3</v>
      </c>
      <c r="F514" s="2" t="str">
        <f>_xlfn.XLOOKUP(C514,customers!$A$1:$A$1001,customers!$B$1:$B$1001,,0)</f>
        <v>Celia Bakeup</v>
      </c>
      <c r="G514" s="2" t="str">
        <f>IF(_xlfn.XLOOKUP(C514,customers!$A$1:$A$1001,customers!$C$1:$C$1001, ,0)=0,"",_xlfn.XLOOKUP(C514,customers!$A$1:$A$1001,customers!$C$1:$C$1001, ,0))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c r="Q514" s="5">
        <f>_xlfn.XLOOKUP(Orders[[#This Row],[Product ID]],products!$A$1:$A$49,products!$G$1:$G$49) *Orders[[#This Row],[Quantity]]</f>
        <v>6.1815000000000007</v>
      </c>
    </row>
    <row r="515" spans="1:17" x14ac:dyDescent="0.25">
      <c r="A515" s="2" t="s">
        <v>3391</v>
      </c>
      <c r="B515" s="3">
        <v>44691</v>
      </c>
      <c r="C515" s="2" t="s">
        <v>3392</v>
      </c>
      <c r="D515" t="s">
        <v>6170</v>
      </c>
      <c r="E515" s="2">
        <v>5</v>
      </c>
      <c r="F515" s="2" t="str">
        <f>_xlfn.XLOOKUP(C515,customers!$A$1:$A$1001,customers!$B$1:$B$1001,,0)</f>
        <v>Nataniel Helkin</v>
      </c>
      <c r="G515" s="2" t="str">
        <f>IF(_xlfn.XLOOKUP(C515,customers!$A$1:$A$1001,customers!$C$1:$C$1001, ,0)=0,"",_xlfn.XLOOKUP(C515,customers!$A$1:$A$1001,customers!$C$1:$C$1001, ,0))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 = "Lib","Liberica"))))</f>
        <v>Liberica</v>
      </c>
      <c r="O515" t="str">
        <f t="shared" ref="O515:O578" si="26">IF(J515="L","Light",IF(J515="M","Medium",IF(J515="D","Dark")))</f>
        <v>Light</v>
      </c>
      <c r="P515" t="str">
        <f>_xlfn.XLOOKUP(Orders[[#This Row],[Customer ID]],customers!$A$1:$A$1001,customers!$I$1:$I$1001,,0)</f>
        <v>No</v>
      </c>
      <c r="Q515" s="5">
        <f>_xlfn.XLOOKUP(Orders[[#This Row],[Product ID]],products!$A$1:$A$49,products!$G$1:$G$49) *Orders[[#This Row],[Quantity]]</f>
        <v>10.302500000000002</v>
      </c>
    </row>
    <row r="516" spans="1:17"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 ,0)=0,"",_xlfn.XLOOKUP(C516,customers!$A$1:$A$1001,customers!$C$1:$C$1001, ,0))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c r="Q516" s="5">
        <f>_xlfn.XLOOKUP(Orders[[#This Row],[Product ID]],products!$A$1:$A$49,products!$G$1:$G$49) *Orders[[#This Row],[Quantity]]</f>
        <v>3.4047000000000001</v>
      </c>
    </row>
    <row r="517" spans="1:17" x14ac:dyDescent="0.25">
      <c r="A517" s="2" t="s">
        <v>3402</v>
      </c>
      <c r="B517" s="3">
        <v>44673</v>
      </c>
      <c r="C517" s="2" t="s">
        <v>3403</v>
      </c>
      <c r="D517" t="s">
        <v>6173</v>
      </c>
      <c r="E517" s="2">
        <v>3</v>
      </c>
      <c r="F517" s="2" t="str">
        <f>_xlfn.XLOOKUP(C517,customers!$A$1:$A$1001,customers!$B$1:$B$1001,,0)</f>
        <v>Tildie Tilzey</v>
      </c>
      <c r="G517" s="2" t="str">
        <f>IF(_xlfn.XLOOKUP(C517,customers!$A$1:$A$1001,customers!$C$1:$C$1001, ,0)=0,"",_xlfn.XLOOKUP(C517,customers!$A$1:$A$1001,customers!$C$1:$C$1001, ,0))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c r="Q517" s="5">
        <f>_xlfn.XLOOKUP(Orders[[#This Row],[Product ID]],products!$A$1:$A$49,products!$G$1:$G$49) *Orders[[#This Row],[Quantity]]</f>
        <v>1.2905999999999997</v>
      </c>
    </row>
    <row r="518" spans="1:17" x14ac:dyDescent="0.25">
      <c r="A518" s="2" t="s">
        <v>3408</v>
      </c>
      <c r="B518" s="3">
        <v>44723</v>
      </c>
      <c r="C518" s="2" t="s">
        <v>3409</v>
      </c>
      <c r="D518" t="s">
        <v>6149</v>
      </c>
      <c r="E518" s="2">
        <v>5</v>
      </c>
      <c r="F518" s="2" t="str">
        <f>_xlfn.XLOOKUP(C518,customers!$A$1:$A$1001,customers!$B$1:$B$1001,,0)</f>
        <v>Cindra Burling</v>
      </c>
      <c r="G518" s="2" t="str">
        <f>IF(_xlfn.XLOOKUP(C518,customers!$A$1:$A$1001,customers!$C$1:$C$1001, ,0)=0,"",_xlfn.XLOOKUP(C518,customers!$A$1:$A$1001,customers!$C$1:$C$1001, ,0))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c r="Q518" s="5">
        <f>_xlfn.XLOOKUP(Orders[[#This Row],[Product ID]],products!$A$1:$A$49,products!$G$1:$G$49) *Orders[[#This Row],[Quantity]]</f>
        <v>6.1754999999999995</v>
      </c>
    </row>
    <row r="519" spans="1:17" x14ac:dyDescent="0.25">
      <c r="A519" s="2" t="s">
        <v>3413</v>
      </c>
      <c r="B519" s="3">
        <v>44678</v>
      </c>
      <c r="C519" s="2" t="s">
        <v>3414</v>
      </c>
      <c r="D519" t="s">
        <v>6150</v>
      </c>
      <c r="E519" s="2">
        <v>2</v>
      </c>
      <c r="F519" s="2" t="str">
        <f>_xlfn.XLOOKUP(C519,customers!$A$1:$A$1001,customers!$B$1:$B$1001,,0)</f>
        <v>Channa Belamy</v>
      </c>
      <c r="G519" s="2" t="str">
        <f>IF(_xlfn.XLOOKUP(C519,customers!$A$1:$A$1001,customers!$C$1:$C$1001, ,0)=0,"",_xlfn.XLOOKUP(C519,customers!$A$1:$A$1001,customers!$C$1:$C$1001, ,0))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c r="Q519" s="5">
        <f>_xlfn.XLOOKUP(Orders[[#This Row],[Product ID]],products!$A$1:$A$49,products!$G$1:$G$49) *Orders[[#This Row],[Quantity]]</f>
        <v>1.0101</v>
      </c>
    </row>
    <row r="520" spans="1:17" x14ac:dyDescent="0.25">
      <c r="A520" s="2" t="s">
        <v>3418</v>
      </c>
      <c r="B520" s="3">
        <v>44194</v>
      </c>
      <c r="C520" s="2" t="s">
        <v>3419</v>
      </c>
      <c r="D520" t="s">
        <v>6185</v>
      </c>
      <c r="E520" s="2">
        <v>5</v>
      </c>
      <c r="F520" s="2" t="str">
        <f>_xlfn.XLOOKUP(C520,customers!$A$1:$A$1001,customers!$B$1:$B$1001,,0)</f>
        <v>Karl Imorts</v>
      </c>
      <c r="G520" s="2" t="str">
        <f>IF(_xlfn.XLOOKUP(C520,customers!$A$1:$A$1001,customers!$C$1:$C$1001, ,0)=0,"",_xlfn.XLOOKUP(C520,customers!$A$1:$A$1001,customers!$C$1:$C$1001, ,0))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c r="Q520" s="5">
        <f>_xlfn.XLOOKUP(Orders[[#This Row],[Product ID]],products!$A$1:$A$49,products!$G$1:$G$49) *Orders[[#This Row],[Quantity]]</f>
        <v>15.36975</v>
      </c>
    </row>
    <row r="521" spans="1:17" x14ac:dyDescent="0.25">
      <c r="A521" s="2" t="s">
        <v>3424</v>
      </c>
      <c r="B521" s="3">
        <v>44026</v>
      </c>
      <c r="C521" s="2" t="s">
        <v>3368</v>
      </c>
      <c r="D521" t="s">
        <v>6158</v>
      </c>
      <c r="E521" s="2">
        <v>2</v>
      </c>
      <c r="F521" s="2" t="str">
        <f>_xlfn.XLOOKUP(C521,customers!$A$1:$A$1001,customers!$B$1:$B$1001,,0)</f>
        <v>Marja Urion</v>
      </c>
      <c r="G521" s="2" t="str">
        <f>IF(_xlfn.XLOOKUP(C521,customers!$A$1:$A$1001,customers!$C$1:$C$1001, ,0)=0,"",_xlfn.XLOOKUP(C521,customers!$A$1:$A$1001,customers!$C$1:$C$1001, ,0))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c r="Q521" s="5">
        <f>_xlfn.XLOOKUP(Orders[[#This Row],[Product ID]],products!$A$1:$A$49,products!$G$1:$G$49) *Orders[[#This Row],[Quantity]]</f>
        <v>1.0746</v>
      </c>
    </row>
    <row r="522" spans="1:17" x14ac:dyDescent="0.25">
      <c r="A522" s="2" t="s">
        <v>3430</v>
      </c>
      <c r="B522" s="3">
        <v>44446</v>
      </c>
      <c r="C522" s="2" t="s">
        <v>3431</v>
      </c>
      <c r="D522" t="s">
        <v>6150</v>
      </c>
      <c r="E522" s="2">
        <v>1</v>
      </c>
      <c r="F522" s="2" t="str">
        <f>_xlfn.XLOOKUP(C522,customers!$A$1:$A$1001,customers!$B$1:$B$1001,,0)</f>
        <v>Mag Armistead</v>
      </c>
      <c r="G522" s="2" t="str">
        <f>IF(_xlfn.XLOOKUP(C522,customers!$A$1:$A$1001,customers!$C$1:$C$1001, ,0)=0,"",_xlfn.XLOOKUP(C522,customers!$A$1:$A$1001,customers!$C$1:$C$1001, ,0))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c r="Q522" s="5">
        <f>_xlfn.XLOOKUP(Orders[[#This Row],[Product ID]],products!$A$1:$A$49,products!$G$1:$G$49) *Orders[[#This Row],[Quantity]]</f>
        <v>0.50505</v>
      </c>
    </row>
    <row r="523" spans="1:17" x14ac:dyDescent="0.25">
      <c r="A523" s="2" t="s">
        <v>3430</v>
      </c>
      <c r="B523" s="3">
        <v>44446</v>
      </c>
      <c r="C523" s="2" t="s">
        <v>3431</v>
      </c>
      <c r="D523" t="s">
        <v>6138</v>
      </c>
      <c r="E523" s="2">
        <v>4</v>
      </c>
      <c r="F523" s="2" t="str">
        <f>_xlfn.XLOOKUP(C523,customers!$A$1:$A$1001,customers!$B$1:$B$1001,,0)</f>
        <v>Mag Armistead</v>
      </c>
      <c r="G523" s="2" t="str">
        <f>IF(_xlfn.XLOOKUP(C523,customers!$A$1:$A$1001,customers!$C$1:$C$1001, ,0)=0,"",_xlfn.XLOOKUP(C523,customers!$A$1:$A$1001,customers!$C$1:$C$1001, ,0))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c r="Q523" s="5">
        <f>_xlfn.XLOOKUP(Orders[[#This Row],[Product ID]],products!$A$1:$A$49,products!$G$1:$G$49) *Orders[[#This Row],[Quantity]]</f>
        <v>2.3879999999999999</v>
      </c>
    </row>
    <row r="524" spans="1:17" x14ac:dyDescent="0.25">
      <c r="A524" s="2" t="s">
        <v>3441</v>
      </c>
      <c r="B524" s="3">
        <v>43625</v>
      </c>
      <c r="C524" s="2" t="s">
        <v>3442</v>
      </c>
      <c r="D524" t="s">
        <v>6146</v>
      </c>
      <c r="E524" s="2">
        <v>5</v>
      </c>
      <c r="F524" s="2" t="str">
        <f>_xlfn.XLOOKUP(C524,customers!$A$1:$A$1001,customers!$B$1:$B$1001,,0)</f>
        <v>Vasili Upstone</v>
      </c>
      <c r="G524" s="2" t="str">
        <f>IF(_xlfn.XLOOKUP(C524,customers!$A$1:$A$1001,customers!$C$1:$C$1001, ,0)=0,"",_xlfn.XLOOKUP(C524,customers!$A$1:$A$1001,customers!$C$1:$C$1001, ,0))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c r="Q524" s="5">
        <f>_xlfn.XLOOKUP(Orders[[#This Row],[Product ID]],products!$A$1:$A$49,products!$G$1:$G$49) *Orders[[#This Row],[Quantity]]</f>
        <v>1.7909999999999999</v>
      </c>
    </row>
    <row r="525" spans="1:17" x14ac:dyDescent="0.25">
      <c r="A525" s="2" t="s">
        <v>3447</v>
      </c>
      <c r="B525" s="3">
        <v>44129</v>
      </c>
      <c r="C525" s="2" t="s">
        <v>3448</v>
      </c>
      <c r="D525" t="s">
        <v>6165</v>
      </c>
      <c r="E525" s="2">
        <v>1</v>
      </c>
      <c r="F525" s="2" t="str">
        <f>_xlfn.XLOOKUP(C525,customers!$A$1:$A$1001,customers!$B$1:$B$1001,,0)</f>
        <v>Berty Beelby</v>
      </c>
      <c r="G525" s="2" t="str">
        <f>IF(_xlfn.XLOOKUP(C525,customers!$A$1:$A$1001,customers!$C$1:$C$1001, ,0)=0,"",_xlfn.XLOOKUP(C525,customers!$A$1:$A$1001,customers!$C$1:$C$1001, ,0))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c r="Q525" s="5">
        <f>_xlfn.XLOOKUP(Orders[[#This Row],[Product ID]],products!$A$1:$A$49,products!$G$1:$G$49) *Orders[[#This Row],[Quantity]]</f>
        <v>3.8720499999999998</v>
      </c>
    </row>
    <row r="526" spans="1:17" x14ac:dyDescent="0.25">
      <c r="A526" s="2" t="s">
        <v>3453</v>
      </c>
      <c r="B526" s="3">
        <v>44255</v>
      </c>
      <c r="C526" s="2" t="s">
        <v>3454</v>
      </c>
      <c r="D526" t="s">
        <v>6164</v>
      </c>
      <c r="E526" s="2">
        <v>2</v>
      </c>
      <c r="F526" s="2" t="str">
        <f>_xlfn.XLOOKUP(C526,customers!$A$1:$A$1001,customers!$B$1:$B$1001,,0)</f>
        <v>Erny Stenyng</v>
      </c>
      <c r="G526" s="2" t="str">
        <f>IF(_xlfn.XLOOKUP(C526,customers!$A$1:$A$1001,customers!$C$1:$C$1001, ,0)=0,"",_xlfn.XLOOKUP(C526,customers!$A$1:$A$1001,customers!$C$1:$C$1001, ,0))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c r="Q526" s="5">
        <f>_xlfn.XLOOKUP(Orders[[#This Row],[Product ID]],products!$A$1:$A$49,products!$G$1:$G$49) *Orders[[#This Row],[Quantity]]</f>
        <v>9.4782999999999991</v>
      </c>
    </row>
    <row r="527" spans="1:17" x14ac:dyDescent="0.25">
      <c r="A527" s="2" t="s">
        <v>3458</v>
      </c>
      <c r="B527" s="3">
        <v>44038</v>
      </c>
      <c r="C527" s="2" t="s">
        <v>3459</v>
      </c>
      <c r="D527" t="s">
        <v>6163</v>
      </c>
      <c r="E527" s="2">
        <v>5</v>
      </c>
      <c r="F527" s="2" t="str">
        <f>_xlfn.XLOOKUP(C527,customers!$A$1:$A$1001,customers!$B$1:$B$1001,,0)</f>
        <v>Edin Yantsurev</v>
      </c>
      <c r="G527" s="2" t="str">
        <f>IF(_xlfn.XLOOKUP(C527,customers!$A$1:$A$1001,customers!$C$1:$C$1001, ,0)=0,"",_xlfn.XLOOKUP(C527,customers!$A$1:$A$1001,customers!$C$1:$C$1001, ,0))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c r="Q527" s="5">
        <f>_xlfn.XLOOKUP(Orders[[#This Row],[Product ID]],products!$A$1:$A$49,products!$G$1:$G$49) *Orders[[#This Row],[Quantity]]</f>
        <v>0.80549999999999988</v>
      </c>
    </row>
    <row r="528" spans="1:17" x14ac:dyDescent="0.25">
      <c r="A528" s="2" t="s">
        <v>3463</v>
      </c>
      <c r="B528" s="3">
        <v>44717</v>
      </c>
      <c r="C528" s="2" t="s">
        <v>3464</v>
      </c>
      <c r="D528" t="s">
        <v>6166</v>
      </c>
      <c r="E528" s="2">
        <v>4</v>
      </c>
      <c r="F528" s="2" t="str">
        <f>_xlfn.XLOOKUP(C528,customers!$A$1:$A$1001,customers!$B$1:$B$1001,,0)</f>
        <v>Webb Speechly</v>
      </c>
      <c r="G528" s="2" t="str">
        <f>IF(_xlfn.XLOOKUP(C528,customers!$A$1:$A$1001,customers!$C$1:$C$1001, ,0)=0,"",_xlfn.XLOOKUP(C528,customers!$A$1:$A$1001,customers!$C$1:$C$1001, ,0))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c r="Q528" s="5">
        <f>_xlfn.XLOOKUP(Orders[[#This Row],[Product ID]],products!$A$1:$A$49,products!$G$1:$G$49) *Orders[[#This Row],[Quantity]]</f>
        <v>13.914999999999999</v>
      </c>
    </row>
    <row r="529" spans="1:17" x14ac:dyDescent="0.25">
      <c r="A529" s="2" t="s">
        <v>3469</v>
      </c>
      <c r="B529" s="3">
        <v>43517</v>
      </c>
      <c r="C529" s="2" t="s">
        <v>3470</v>
      </c>
      <c r="D529" t="s">
        <v>6139</v>
      </c>
      <c r="E529" s="2">
        <v>5</v>
      </c>
      <c r="F529" s="2" t="str">
        <f>_xlfn.XLOOKUP(C529,customers!$A$1:$A$1001,customers!$B$1:$B$1001,,0)</f>
        <v>Irvine Phillpot</v>
      </c>
      <c r="G529" s="2" t="str">
        <f>IF(_xlfn.XLOOKUP(C529,customers!$A$1:$A$1001,customers!$C$1:$C$1001, ,0)=0,"",_xlfn.XLOOKUP(C529,customers!$A$1:$A$1001,customers!$C$1:$C$1001, ,0))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c r="Q529" s="5">
        <f>_xlfn.XLOOKUP(Orders[[#This Row],[Product ID]],products!$A$1:$A$49,products!$G$1:$G$49) *Orders[[#This Row],[Quantity]]</f>
        <v>4.5374999999999996</v>
      </c>
    </row>
    <row r="530" spans="1:17" x14ac:dyDescent="0.25">
      <c r="A530" s="2" t="s">
        <v>3475</v>
      </c>
      <c r="B530" s="3">
        <v>43926</v>
      </c>
      <c r="C530" s="2" t="s">
        <v>3476</v>
      </c>
      <c r="D530" t="s">
        <v>6176</v>
      </c>
      <c r="E530" s="2">
        <v>6</v>
      </c>
      <c r="F530" s="2" t="str">
        <f>_xlfn.XLOOKUP(C530,customers!$A$1:$A$1001,customers!$B$1:$B$1001,,0)</f>
        <v>Lem Pennacci</v>
      </c>
      <c r="G530" s="2" t="str">
        <f>IF(_xlfn.XLOOKUP(C530,customers!$A$1:$A$1001,customers!$C$1:$C$1001, ,0)=0,"",_xlfn.XLOOKUP(C530,customers!$A$1:$A$1001,customers!$C$1:$C$1001, ,0))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c r="Q530" s="5">
        <f>_xlfn.XLOOKUP(Orders[[#This Row],[Product ID]],products!$A$1:$A$49,products!$G$1:$G$49) *Orders[[#This Row],[Quantity]]</f>
        <v>5.8805999999999994</v>
      </c>
    </row>
    <row r="531" spans="1:17" x14ac:dyDescent="0.25">
      <c r="A531" s="2" t="s">
        <v>3481</v>
      </c>
      <c r="B531" s="3">
        <v>43475</v>
      </c>
      <c r="C531" s="2" t="s">
        <v>3482</v>
      </c>
      <c r="D531" t="s">
        <v>6138</v>
      </c>
      <c r="E531" s="2">
        <v>6</v>
      </c>
      <c r="F531" s="2" t="str">
        <f>_xlfn.XLOOKUP(C531,customers!$A$1:$A$1001,customers!$B$1:$B$1001,,0)</f>
        <v>Starr Arpin</v>
      </c>
      <c r="G531" s="2" t="str">
        <f>IF(_xlfn.XLOOKUP(C531,customers!$A$1:$A$1001,customers!$C$1:$C$1001, ,0)=0,"",_xlfn.XLOOKUP(C531,customers!$A$1:$A$1001,customers!$C$1:$C$1001, ,0))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c r="Q531" s="5">
        <f>_xlfn.XLOOKUP(Orders[[#This Row],[Product ID]],products!$A$1:$A$49,products!$G$1:$G$49) *Orders[[#This Row],[Quantity]]</f>
        <v>3.5819999999999999</v>
      </c>
    </row>
    <row r="532" spans="1:17" x14ac:dyDescent="0.25">
      <c r="A532" s="2" t="s">
        <v>3487</v>
      </c>
      <c r="B532" s="3">
        <v>44663</v>
      </c>
      <c r="C532" s="2" t="s">
        <v>3488</v>
      </c>
      <c r="D532" t="s">
        <v>6138</v>
      </c>
      <c r="E532" s="2">
        <v>6</v>
      </c>
      <c r="F532" s="2" t="str">
        <f>_xlfn.XLOOKUP(C532,customers!$A$1:$A$1001,customers!$B$1:$B$1001,,0)</f>
        <v>Donny Fries</v>
      </c>
      <c r="G532" s="2" t="str">
        <f>IF(_xlfn.XLOOKUP(C532,customers!$A$1:$A$1001,customers!$C$1:$C$1001, ,0)=0,"",_xlfn.XLOOKUP(C532,customers!$A$1:$A$1001,customers!$C$1:$C$1001, ,0))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c r="Q532" s="5">
        <f>_xlfn.XLOOKUP(Orders[[#This Row],[Product ID]],products!$A$1:$A$49,products!$G$1:$G$49) *Orders[[#This Row],[Quantity]]</f>
        <v>3.5819999999999999</v>
      </c>
    </row>
    <row r="533" spans="1:17" x14ac:dyDescent="0.25">
      <c r="A533" s="2" t="s">
        <v>3493</v>
      </c>
      <c r="B533" s="3">
        <v>44591</v>
      </c>
      <c r="C533" s="2" t="s">
        <v>3494</v>
      </c>
      <c r="D533" t="s">
        <v>6177</v>
      </c>
      <c r="E533" s="2">
        <v>5</v>
      </c>
      <c r="F533" s="2" t="str">
        <f>_xlfn.XLOOKUP(C533,customers!$A$1:$A$1001,customers!$B$1:$B$1001,,0)</f>
        <v>Rana Sharer</v>
      </c>
      <c r="G533" s="2" t="str">
        <f>IF(_xlfn.XLOOKUP(C533,customers!$A$1:$A$1001,customers!$C$1:$C$1001, ,0)=0,"",_xlfn.XLOOKUP(C533,customers!$A$1:$A$1001,customers!$C$1:$C$1001, ,0))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c r="Q533" s="5">
        <f>_xlfn.XLOOKUP(Orders[[#This Row],[Product ID]],products!$A$1:$A$49,products!$G$1:$G$49) *Orders[[#This Row],[Quantity]]</f>
        <v>2.6849999999999996</v>
      </c>
    </row>
    <row r="534" spans="1:17" x14ac:dyDescent="0.25">
      <c r="A534" s="2" t="s">
        <v>3499</v>
      </c>
      <c r="B534" s="3">
        <v>44330</v>
      </c>
      <c r="C534" s="2" t="s">
        <v>3500</v>
      </c>
      <c r="D534" t="s">
        <v>6139</v>
      </c>
      <c r="E534" s="2">
        <v>2</v>
      </c>
      <c r="F534" s="2" t="str">
        <f>_xlfn.XLOOKUP(C534,customers!$A$1:$A$1001,customers!$B$1:$B$1001,,0)</f>
        <v>Nannie Naseby</v>
      </c>
      <c r="G534" s="2" t="str">
        <f>IF(_xlfn.XLOOKUP(C534,customers!$A$1:$A$1001,customers!$C$1:$C$1001, ,0)=0,"",_xlfn.XLOOKUP(C534,customers!$A$1:$A$1001,customers!$C$1:$C$1001, ,0))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c r="Q534" s="5">
        <f>_xlfn.XLOOKUP(Orders[[#This Row],[Product ID]],products!$A$1:$A$49,products!$G$1:$G$49) *Orders[[#This Row],[Quantity]]</f>
        <v>1.8149999999999999</v>
      </c>
    </row>
    <row r="535" spans="1:17" x14ac:dyDescent="0.25">
      <c r="A535" s="2" t="s">
        <v>3505</v>
      </c>
      <c r="B535" s="3">
        <v>44724</v>
      </c>
      <c r="C535" s="2" t="s">
        <v>3506</v>
      </c>
      <c r="D535" t="s">
        <v>6172</v>
      </c>
      <c r="E535" s="2">
        <v>4</v>
      </c>
      <c r="F535" s="2" t="str">
        <f>_xlfn.XLOOKUP(C535,customers!$A$1:$A$1001,customers!$B$1:$B$1001,,0)</f>
        <v>Rea Offell</v>
      </c>
      <c r="G535" s="2" t="str">
        <f>IF(_xlfn.XLOOKUP(C535,customers!$A$1:$A$1001,customers!$C$1:$C$1001, ,0)=0,"",_xlfn.XLOOKUP(C535,customers!$A$1:$A$1001,customers!$C$1:$C$1001, ,0))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c r="Q535" s="5">
        <f>_xlfn.XLOOKUP(Orders[[#This Row],[Product ID]],products!$A$1:$A$49,products!$G$1:$G$49) *Orders[[#This Row],[Quantity]]</f>
        <v>1.2887999999999997</v>
      </c>
    </row>
    <row r="536" spans="1:17" x14ac:dyDescent="0.25">
      <c r="A536" s="2" t="s">
        <v>3510</v>
      </c>
      <c r="B536" s="3">
        <v>44563</v>
      </c>
      <c r="C536" s="2" t="s">
        <v>3511</v>
      </c>
      <c r="D536" t="s">
        <v>6151</v>
      </c>
      <c r="E536" s="2">
        <v>2</v>
      </c>
      <c r="F536" s="2" t="str">
        <f>_xlfn.XLOOKUP(C536,customers!$A$1:$A$1001,customers!$B$1:$B$1001,,0)</f>
        <v>Kris O'Cullen</v>
      </c>
      <c r="G536" s="2" t="str">
        <f>IF(_xlfn.XLOOKUP(C536,customers!$A$1:$A$1001,customers!$C$1:$C$1001, ,0)=0,"",_xlfn.XLOOKUP(C536,customers!$A$1:$A$1001,customers!$C$1:$C$1001, ,0))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c r="Q536" s="5">
        <f>_xlfn.XLOOKUP(Orders[[#This Row],[Product ID]],products!$A$1:$A$49,products!$G$1:$G$49) *Orders[[#This Row],[Quantity]]</f>
        <v>2.7461999999999995</v>
      </c>
    </row>
    <row r="537" spans="1:17" x14ac:dyDescent="0.25">
      <c r="A537" s="2" t="s">
        <v>3516</v>
      </c>
      <c r="B537" s="3">
        <v>44585</v>
      </c>
      <c r="C537" s="2" t="s">
        <v>3517</v>
      </c>
      <c r="D537" t="s">
        <v>6145</v>
      </c>
      <c r="E537" s="2">
        <v>2</v>
      </c>
      <c r="F537" s="2" t="str">
        <f>_xlfn.XLOOKUP(C537,customers!$A$1:$A$1001,customers!$B$1:$B$1001,,0)</f>
        <v>Timoteo Glisane</v>
      </c>
      <c r="G537" s="2" t="str">
        <f>IF(_xlfn.XLOOKUP(C537,customers!$A$1:$A$1001,customers!$C$1:$C$1001, ,0)=0,"",_xlfn.XLOOKUP(C537,customers!$A$1:$A$1001,customers!$C$1:$C$1001, ,0))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c r="Q537" s="5">
        <f>_xlfn.XLOOKUP(Orders[[#This Row],[Product ID]],products!$A$1:$A$49,products!$G$1:$G$49) *Orders[[#This Row],[Quantity]]</f>
        <v>1.2363</v>
      </c>
    </row>
    <row r="538" spans="1:17" x14ac:dyDescent="0.25">
      <c r="A538" s="2" t="s">
        <v>3521</v>
      </c>
      <c r="B538" s="3">
        <v>43544</v>
      </c>
      <c r="C538" s="2" t="s">
        <v>3368</v>
      </c>
      <c r="D538" t="s">
        <v>6163</v>
      </c>
      <c r="E538" s="2">
        <v>3</v>
      </c>
      <c r="F538" s="2" t="str">
        <f>_xlfn.XLOOKUP(C538,customers!$A$1:$A$1001,customers!$B$1:$B$1001,,0)</f>
        <v>Marja Urion</v>
      </c>
      <c r="G538" s="2" t="str">
        <f>IF(_xlfn.XLOOKUP(C538,customers!$A$1:$A$1001,customers!$C$1:$C$1001, ,0)=0,"",_xlfn.XLOOKUP(C538,customers!$A$1:$A$1001,customers!$C$1:$C$1001, ,0))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c r="Q538" s="5">
        <f>_xlfn.XLOOKUP(Orders[[#This Row],[Product ID]],products!$A$1:$A$49,products!$G$1:$G$49) *Orders[[#This Row],[Quantity]]</f>
        <v>0.4832999999999999</v>
      </c>
    </row>
    <row r="539" spans="1:17"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 ,0)=0,"",_xlfn.XLOOKUP(C539,customers!$A$1:$A$1001,customers!$C$1:$C$1001, ,0))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c r="Q539" s="5">
        <f>_xlfn.XLOOKUP(Orders[[#This Row],[Product ID]],products!$A$1:$A$49,products!$G$1:$G$49) *Orders[[#This Row],[Quantity]]</f>
        <v>12.2958</v>
      </c>
    </row>
    <row r="540" spans="1:17" x14ac:dyDescent="0.25">
      <c r="A540" s="2" t="s">
        <v>3532</v>
      </c>
      <c r="B540" s="3">
        <v>44482</v>
      </c>
      <c r="C540" s="2" t="s">
        <v>3533</v>
      </c>
      <c r="D540" t="s">
        <v>6163</v>
      </c>
      <c r="E540" s="2">
        <v>4</v>
      </c>
      <c r="F540" s="2" t="str">
        <f>_xlfn.XLOOKUP(C540,customers!$A$1:$A$1001,customers!$B$1:$B$1001,,0)</f>
        <v>Amii Gallyon</v>
      </c>
      <c r="G540" s="2" t="str">
        <f>IF(_xlfn.XLOOKUP(C540,customers!$A$1:$A$1001,customers!$C$1:$C$1001, ,0)=0,"",_xlfn.XLOOKUP(C540,customers!$A$1:$A$1001,customers!$C$1:$C$1001, ,0))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c r="Q540" s="5">
        <f>_xlfn.XLOOKUP(Orders[[#This Row],[Product ID]],products!$A$1:$A$49,products!$G$1:$G$49) *Orders[[#This Row],[Quantity]]</f>
        <v>0.64439999999999986</v>
      </c>
    </row>
    <row r="541" spans="1:17" x14ac:dyDescent="0.25">
      <c r="A541" s="2" t="s">
        <v>3537</v>
      </c>
      <c r="B541" s="3">
        <v>44488</v>
      </c>
      <c r="C541" s="2" t="s">
        <v>3538</v>
      </c>
      <c r="D541" t="s">
        <v>6172</v>
      </c>
      <c r="E541" s="2">
        <v>5</v>
      </c>
      <c r="F541" s="2" t="str">
        <f>_xlfn.XLOOKUP(C541,customers!$A$1:$A$1001,customers!$B$1:$B$1001,,0)</f>
        <v>Birgit Domange</v>
      </c>
      <c r="G541" s="2" t="str">
        <f>IF(_xlfn.XLOOKUP(C541,customers!$A$1:$A$1001,customers!$C$1:$C$1001, ,0)=0,"",_xlfn.XLOOKUP(C541,customers!$A$1:$A$1001,customers!$C$1:$C$1001, ,0))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c r="Q541" s="5">
        <f>_xlfn.XLOOKUP(Orders[[#This Row],[Product ID]],products!$A$1:$A$49,products!$G$1:$G$49) *Orders[[#This Row],[Quantity]]</f>
        <v>1.6109999999999998</v>
      </c>
    </row>
    <row r="542" spans="1:17" x14ac:dyDescent="0.25">
      <c r="A542" s="2" t="s">
        <v>3542</v>
      </c>
      <c r="B542" s="3">
        <v>43584</v>
      </c>
      <c r="C542" s="2" t="s">
        <v>3543</v>
      </c>
      <c r="D542" t="s">
        <v>6170</v>
      </c>
      <c r="E542" s="2">
        <v>4</v>
      </c>
      <c r="F542" s="2" t="str">
        <f>_xlfn.XLOOKUP(C542,customers!$A$1:$A$1001,customers!$B$1:$B$1001,,0)</f>
        <v>Killian Osler</v>
      </c>
      <c r="G542" s="2" t="str">
        <f>IF(_xlfn.XLOOKUP(C542,customers!$A$1:$A$1001,customers!$C$1:$C$1001, ,0)=0,"",_xlfn.XLOOKUP(C542,customers!$A$1:$A$1001,customers!$C$1:$C$1001, ,0))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c r="Q542" s="5">
        <f>_xlfn.XLOOKUP(Orders[[#This Row],[Product ID]],products!$A$1:$A$49,products!$G$1:$G$49) *Orders[[#This Row],[Quantity]]</f>
        <v>8.2420000000000009</v>
      </c>
    </row>
    <row r="543" spans="1:17" x14ac:dyDescent="0.25">
      <c r="A543" s="2" t="s">
        <v>3548</v>
      </c>
      <c r="B543" s="3">
        <v>43750</v>
      </c>
      <c r="C543" s="2" t="s">
        <v>3549</v>
      </c>
      <c r="D543" t="s">
        <v>6168</v>
      </c>
      <c r="E543" s="2">
        <v>1</v>
      </c>
      <c r="F543" s="2" t="str">
        <f>_xlfn.XLOOKUP(C543,customers!$A$1:$A$1001,customers!$B$1:$B$1001,,0)</f>
        <v>Lora Dukes</v>
      </c>
      <c r="G543" s="2" t="str">
        <f>IF(_xlfn.XLOOKUP(C543,customers!$A$1:$A$1001,customers!$C$1:$C$1001, ,0)=0,"",_xlfn.XLOOKUP(C543,customers!$A$1:$A$1001,customers!$C$1:$C$1001, ,0))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c r="Q543" s="5">
        <f>_xlfn.XLOOKUP(Orders[[#This Row],[Product ID]],products!$A$1:$A$49,products!$G$1:$G$49) *Orders[[#This Row],[Quantity]]</f>
        <v>2.0596499999999995</v>
      </c>
    </row>
    <row r="544" spans="1:17" x14ac:dyDescent="0.25">
      <c r="A544" s="2" t="s">
        <v>3553</v>
      </c>
      <c r="B544" s="3">
        <v>44335</v>
      </c>
      <c r="C544" s="2" t="s">
        <v>3554</v>
      </c>
      <c r="D544" t="s">
        <v>6175</v>
      </c>
      <c r="E544" s="2">
        <v>4</v>
      </c>
      <c r="F544" s="2" t="str">
        <f>_xlfn.XLOOKUP(C544,customers!$A$1:$A$1001,customers!$B$1:$B$1001,,0)</f>
        <v>Zack Pellett</v>
      </c>
      <c r="G544" s="2" t="str">
        <f>IF(_xlfn.XLOOKUP(C544,customers!$A$1:$A$1001,customers!$C$1:$C$1001, ,0)=0,"",_xlfn.XLOOKUP(C544,customers!$A$1:$A$1001,customers!$C$1:$C$1001, ,0))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c r="Q544" s="5">
        <f>_xlfn.XLOOKUP(Orders[[#This Row],[Product ID]],products!$A$1:$A$49,products!$G$1:$G$49) *Orders[[#This Row],[Quantity]]</f>
        <v>9.3149999999999977</v>
      </c>
    </row>
    <row r="545" spans="1:17" x14ac:dyDescent="0.25">
      <c r="A545" s="2" t="s">
        <v>3559</v>
      </c>
      <c r="B545" s="3">
        <v>44380</v>
      </c>
      <c r="C545" s="2" t="s">
        <v>3560</v>
      </c>
      <c r="D545" t="s">
        <v>6142</v>
      </c>
      <c r="E545" s="2">
        <v>2</v>
      </c>
      <c r="F545" s="2" t="str">
        <f>_xlfn.XLOOKUP(C545,customers!$A$1:$A$1001,customers!$B$1:$B$1001,,0)</f>
        <v>Ilaire Sprakes</v>
      </c>
      <c r="G545" s="2" t="str">
        <f>IF(_xlfn.XLOOKUP(C545,customers!$A$1:$A$1001,customers!$C$1:$C$1001, ,0)=0,"",_xlfn.XLOOKUP(C545,customers!$A$1:$A$1001,customers!$C$1:$C$1001, ,0))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c r="Q545" s="5">
        <f>_xlfn.XLOOKUP(Orders[[#This Row],[Product ID]],products!$A$1:$A$49,products!$G$1:$G$49) *Orders[[#This Row],[Quantity]]</f>
        <v>3.2981999999999996</v>
      </c>
    </row>
    <row r="546" spans="1:17" x14ac:dyDescent="0.25">
      <c r="A546" s="2" t="s">
        <v>3565</v>
      </c>
      <c r="B546" s="3">
        <v>43869</v>
      </c>
      <c r="C546" s="2" t="s">
        <v>3566</v>
      </c>
      <c r="D546" t="s">
        <v>6180</v>
      </c>
      <c r="E546" s="2">
        <v>2</v>
      </c>
      <c r="F546" s="2" t="str">
        <f>_xlfn.XLOOKUP(C546,customers!$A$1:$A$1001,customers!$B$1:$B$1001,,0)</f>
        <v>Heda Fromant</v>
      </c>
      <c r="G546" s="2" t="str">
        <f>IF(_xlfn.XLOOKUP(C546,customers!$A$1:$A$1001,customers!$C$1:$C$1001, ,0)=0,"",_xlfn.XLOOKUP(C546,customers!$A$1:$A$1001,customers!$C$1:$C$1001, ,0))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c r="Q546" s="5">
        <f>_xlfn.XLOOKUP(Orders[[#This Row],[Product ID]],products!$A$1:$A$49,products!$G$1:$G$49) *Orders[[#This Row],[Quantity]]</f>
        <v>1.3985999999999998</v>
      </c>
    </row>
    <row r="547" spans="1:17" x14ac:dyDescent="0.25">
      <c r="A547" s="2" t="s">
        <v>3571</v>
      </c>
      <c r="B547" s="3">
        <v>44120</v>
      </c>
      <c r="C547" s="2" t="s">
        <v>3572</v>
      </c>
      <c r="D547" t="s">
        <v>6150</v>
      </c>
      <c r="E547" s="2">
        <v>4</v>
      </c>
      <c r="F547" s="2" t="str">
        <f>_xlfn.XLOOKUP(C547,customers!$A$1:$A$1001,customers!$B$1:$B$1001,,0)</f>
        <v>Rufus Flear</v>
      </c>
      <c r="G547" s="2" t="str">
        <f>IF(_xlfn.XLOOKUP(C547,customers!$A$1:$A$1001,customers!$C$1:$C$1001, ,0)=0,"",_xlfn.XLOOKUP(C547,customers!$A$1:$A$1001,customers!$C$1:$C$1001, ,0))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c r="Q547" s="5">
        <f>_xlfn.XLOOKUP(Orders[[#This Row],[Product ID]],products!$A$1:$A$49,products!$G$1:$G$49) *Orders[[#This Row],[Quantity]]</f>
        <v>2.0202</v>
      </c>
    </row>
    <row r="548" spans="1:17" x14ac:dyDescent="0.25">
      <c r="A548" s="2" t="s">
        <v>3577</v>
      </c>
      <c r="B548" s="3">
        <v>44127</v>
      </c>
      <c r="C548" s="2" t="s">
        <v>3578</v>
      </c>
      <c r="D548" t="s">
        <v>6185</v>
      </c>
      <c r="E548" s="2">
        <v>3</v>
      </c>
      <c r="F548" s="2" t="str">
        <f>_xlfn.XLOOKUP(C548,customers!$A$1:$A$1001,customers!$B$1:$B$1001,,0)</f>
        <v>Dom Milella</v>
      </c>
      <c r="G548" s="2" t="str">
        <f>IF(_xlfn.XLOOKUP(C548,customers!$A$1:$A$1001,customers!$C$1:$C$1001, ,0)=0,"",_xlfn.XLOOKUP(C548,customers!$A$1:$A$1001,customers!$C$1:$C$1001, ,0))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c r="Q548" s="5">
        <f>_xlfn.XLOOKUP(Orders[[#This Row],[Product ID]],products!$A$1:$A$49,products!$G$1:$G$49) *Orders[[#This Row],[Quantity]]</f>
        <v>9.2218499999999999</v>
      </c>
    </row>
    <row r="549" spans="1:17"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 ,0)=0,"",_xlfn.XLOOKUP(C549,customers!$A$1:$A$1001,customers!$C$1:$C$1001, ,0))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c r="Q549" s="5">
        <f>_xlfn.XLOOKUP(Orders[[#This Row],[Product ID]],products!$A$1:$A$49,products!$G$1:$G$49) *Orders[[#This Row],[Quantity]]</f>
        <v>0.64529999999999987</v>
      </c>
    </row>
    <row r="550" spans="1:17" x14ac:dyDescent="0.25">
      <c r="A550" s="2" t="s">
        <v>3587</v>
      </c>
      <c r="B550" s="3">
        <v>44384</v>
      </c>
      <c r="C550" s="2" t="s">
        <v>3588</v>
      </c>
      <c r="D550" t="s">
        <v>6184</v>
      </c>
      <c r="E550" s="2">
        <v>3</v>
      </c>
      <c r="F550" s="2" t="str">
        <f>_xlfn.XLOOKUP(C550,customers!$A$1:$A$1001,customers!$B$1:$B$1001,,0)</f>
        <v>Bette-ann Munden</v>
      </c>
      <c r="G550" s="2" t="str">
        <f>IF(_xlfn.XLOOKUP(C550,customers!$A$1:$A$1001,customers!$C$1:$C$1001, ,0)=0,"",_xlfn.XLOOKUP(C550,customers!$A$1:$A$1001,customers!$C$1:$C$1001, ,0))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c r="Q550" s="5">
        <f>_xlfn.XLOOKUP(Orders[[#This Row],[Product ID]],products!$A$1:$A$49,products!$G$1:$G$49) *Orders[[#This Row],[Quantity]]</f>
        <v>1.4701499999999998</v>
      </c>
    </row>
    <row r="551" spans="1:17"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 ,0)=0,"",_xlfn.XLOOKUP(C551,customers!$A$1:$A$1001,customers!$C$1:$C$1001, ,0))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c r="Q551" s="5">
        <f>_xlfn.XLOOKUP(Orders[[#This Row],[Product ID]],products!$A$1:$A$49,products!$G$1:$G$49) *Orders[[#This Row],[Quantity]]</f>
        <v>1.9601999999999999</v>
      </c>
    </row>
    <row r="552" spans="1:17" x14ac:dyDescent="0.25">
      <c r="A552" s="2" t="s">
        <v>3599</v>
      </c>
      <c r="B552" s="3">
        <v>44176</v>
      </c>
      <c r="C552" s="2" t="s">
        <v>3600</v>
      </c>
      <c r="D552" t="s">
        <v>6150</v>
      </c>
      <c r="E552" s="2">
        <v>6</v>
      </c>
      <c r="F552" s="2" t="str">
        <f>_xlfn.XLOOKUP(C552,customers!$A$1:$A$1001,customers!$B$1:$B$1001,,0)</f>
        <v>Nick Brakespear</v>
      </c>
      <c r="G552" s="2" t="str">
        <f>IF(_xlfn.XLOOKUP(C552,customers!$A$1:$A$1001,customers!$C$1:$C$1001, ,0)=0,"",_xlfn.XLOOKUP(C552,customers!$A$1:$A$1001,customers!$C$1:$C$1001, ,0))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c r="Q552" s="5">
        <f>_xlfn.XLOOKUP(Orders[[#This Row],[Product ID]],products!$A$1:$A$49,products!$G$1:$G$49) *Orders[[#This Row],[Quantity]]</f>
        <v>3.0303</v>
      </c>
    </row>
    <row r="553" spans="1:17" x14ac:dyDescent="0.25">
      <c r="A553" s="2" t="s">
        <v>3605</v>
      </c>
      <c r="B553" s="3">
        <v>44694</v>
      </c>
      <c r="C553" s="2" t="s">
        <v>3606</v>
      </c>
      <c r="D553" t="s">
        <v>6153</v>
      </c>
      <c r="E553" s="2">
        <v>2</v>
      </c>
      <c r="F553" s="2" t="str">
        <f>_xlfn.XLOOKUP(C553,customers!$A$1:$A$1001,customers!$B$1:$B$1001,,0)</f>
        <v>Malynda Glawsop</v>
      </c>
      <c r="G553" s="2" t="str">
        <f>IF(_xlfn.XLOOKUP(C553,customers!$A$1:$A$1001,customers!$C$1:$C$1001, ,0)=0,"",_xlfn.XLOOKUP(C553,customers!$A$1:$A$1001,customers!$C$1:$C$1001, ,0))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c r="Q553" s="5">
        <f>_xlfn.XLOOKUP(Orders[[#This Row],[Product ID]],products!$A$1:$A$49,products!$G$1:$G$49) *Orders[[#This Row],[Quantity]]</f>
        <v>0.80190000000000006</v>
      </c>
    </row>
    <row r="554" spans="1:17"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 ,0)=0,"",_xlfn.XLOOKUP(C554,customers!$A$1:$A$1001,customers!$C$1:$C$1001, ,0))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c r="Q554" s="5">
        <f>_xlfn.XLOOKUP(Orders[[#This Row],[Product ID]],products!$A$1:$A$49,products!$G$1:$G$49) *Orders[[#This Row],[Quantity]]</f>
        <v>1.9601999999999999</v>
      </c>
    </row>
    <row r="555" spans="1:17" x14ac:dyDescent="0.25">
      <c r="A555" s="2" t="s">
        <v>3617</v>
      </c>
      <c r="B555" s="3">
        <v>44085</v>
      </c>
      <c r="C555" s="2" t="s">
        <v>3618</v>
      </c>
      <c r="D555" t="s">
        <v>6141</v>
      </c>
      <c r="E555" s="2">
        <v>5</v>
      </c>
      <c r="F555" s="2" t="str">
        <f>_xlfn.XLOOKUP(C555,customers!$A$1:$A$1001,customers!$B$1:$B$1001,,0)</f>
        <v>Vasily Polglase</v>
      </c>
      <c r="G555" s="2" t="str">
        <f>IF(_xlfn.XLOOKUP(C555,customers!$A$1:$A$1001,customers!$C$1:$C$1001, ,0)=0,"",_xlfn.XLOOKUP(C555,customers!$A$1:$A$1001,customers!$C$1:$C$1001, ,0))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c r="Q555" s="5">
        <f>_xlfn.XLOOKUP(Orders[[#This Row],[Product ID]],products!$A$1:$A$49,products!$G$1:$G$49) *Orders[[#This Row],[Quantity]]</f>
        <v>7.5625</v>
      </c>
    </row>
    <row r="556" spans="1:17"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 ,0)=0,"",_xlfn.XLOOKUP(C556,customers!$A$1:$A$1001,customers!$C$1:$C$1001, ,0))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c r="Q556" s="5">
        <f>_xlfn.XLOOKUP(Orders[[#This Row],[Product ID]],products!$A$1:$A$49,products!$G$1:$G$49) *Orders[[#This Row],[Quantity]]</f>
        <v>3.2981999999999996</v>
      </c>
    </row>
    <row r="557" spans="1:17" x14ac:dyDescent="0.25">
      <c r="A557" s="2" t="s">
        <v>3627</v>
      </c>
      <c r="B557" s="3">
        <v>44258</v>
      </c>
      <c r="C557" s="2" t="s">
        <v>3628</v>
      </c>
      <c r="D557" t="s">
        <v>6141</v>
      </c>
      <c r="E557" s="2">
        <v>6</v>
      </c>
      <c r="F557" s="2" t="str">
        <f>_xlfn.XLOOKUP(C557,customers!$A$1:$A$1001,customers!$B$1:$B$1001,,0)</f>
        <v>Sigfrid Busch</v>
      </c>
      <c r="G557" s="2" t="str">
        <f>IF(_xlfn.XLOOKUP(C557,customers!$A$1:$A$1001,customers!$C$1:$C$1001, ,0)=0,"",_xlfn.XLOOKUP(C557,customers!$A$1:$A$1001,customers!$C$1:$C$1001, ,0))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c r="Q557" s="5">
        <f>_xlfn.XLOOKUP(Orders[[#This Row],[Product ID]],products!$A$1:$A$49,products!$G$1:$G$49) *Orders[[#This Row],[Quantity]]</f>
        <v>9.0749999999999993</v>
      </c>
    </row>
    <row r="558" spans="1:17" x14ac:dyDescent="0.25">
      <c r="A558" s="2" t="s">
        <v>3633</v>
      </c>
      <c r="B558" s="3">
        <v>44523</v>
      </c>
      <c r="C558" s="2" t="s">
        <v>3634</v>
      </c>
      <c r="D558" t="s">
        <v>6159</v>
      </c>
      <c r="E558" s="2">
        <v>2</v>
      </c>
      <c r="F558" s="2" t="str">
        <f>_xlfn.XLOOKUP(C558,customers!$A$1:$A$1001,customers!$B$1:$B$1001,,0)</f>
        <v>Cissiee Raisbeck</v>
      </c>
      <c r="G558" s="2" t="str">
        <f>IF(_xlfn.XLOOKUP(C558,customers!$A$1:$A$1001,customers!$C$1:$C$1001, ,0)=0,"",_xlfn.XLOOKUP(C558,customers!$A$1:$A$1001,customers!$C$1:$C$1001, ,0))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c r="Q558" s="5">
        <f>_xlfn.XLOOKUP(Orders[[#This Row],[Product ID]],products!$A$1:$A$49,products!$G$1:$G$49) *Orders[[#This Row],[Quantity]]</f>
        <v>1.1349</v>
      </c>
    </row>
    <row r="559" spans="1:17" x14ac:dyDescent="0.25">
      <c r="A559" s="2" t="s">
        <v>3638</v>
      </c>
      <c r="B559" s="3">
        <v>44506</v>
      </c>
      <c r="C559" s="2" t="s">
        <v>3368</v>
      </c>
      <c r="D559" t="s">
        <v>6171</v>
      </c>
      <c r="E559" s="2">
        <v>4</v>
      </c>
      <c r="F559" s="2" t="str">
        <f>_xlfn.XLOOKUP(C559,customers!$A$1:$A$1001,customers!$B$1:$B$1001,,0)</f>
        <v>Marja Urion</v>
      </c>
      <c r="G559" s="2" t="str">
        <f>IF(_xlfn.XLOOKUP(C559,customers!$A$1:$A$1001,customers!$C$1:$C$1001, ,0)=0,"",_xlfn.XLOOKUP(C559,customers!$A$1:$A$1001,customers!$C$1:$C$1001, ,0))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c r="Q559" s="5">
        <f>_xlfn.XLOOKUP(Orders[[#This Row],[Product ID]],products!$A$1:$A$49,products!$G$1:$G$49) *Orders[[#This Row],[Quantity]]</f>
        <v>6.5339999999999998</v>
      </c>
    </row>
    <row r="560" spans="1:17" x14ac:dyDescent="0.25">
      <c r="A560" s="2" t="s">
        <v>3643</v>
      </c>
      <c r="B560" s="3">
        <v>44225</v>
      </c>
      <c r="C560" s="2" t="s">
        <v>3644</v>
      </c>
      <c r="D560" t="s">
        <v>6150</v>
      </c>
      <c r="E560" s="2">
        <v>4</v>
      </c>
      <c r="F560" s="2" t="str">
        <f>_xlfn.XLOOKUP(C560,customers!$A$1:$A$1001,customers!$B$1:$B$1001,,0)</f>
        <v>Kenton Wetherick</v>
      </c>
      <c r="G560" s="2" t="str">
        <f>IF(_xlfn.XLOOKUP(C560,customers!$A$1:$A$1001,customers!$C$1:$C$1001, ,0)=0,"",_xlfn.XLOOKUP(C560,customers!$A$1:$A$1001,customers!$C$1:$C$1001, ,0))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c r="Q560" s="5">
        <f>_xlfn.XLOOKUP(Orders[[#This Row],[Product ID]],products!$A$1:$A$49,products!$G$1:$G$49) *Orders[[#This Row],[Quantity]]</f>
        <v>2.0202</v>
      </c>
    </row>
    <row r="561" spans="1:17" x14ac:dyDescent="0.25">
      <c r="A561" s="2" t="s">
        <v>3648</v>
      </c>
      <c r="B561" s="3">
        <v>44667</v>
      </c>
      <c r="C561" s="2" t="s">
        <v>3649</v>
      </c>
      <c r="D561" t="s">
        <v>6140</v>
      </c>
      <c r="E561" s="2">
        <v>3</v>
      </c>
      <c r="F561" s="2" t="str">
        <f>_xlfn.XLOOKUP(C561,customers!$A$1:$A$1001,customers!$B$1:$B$1001,,0)</f>
        <v>Reamonn Aynold</v>
      </c>
      <c r="G561" s="2" t="str">
        <f>IF(_xlfn.XLOOKUP(C561,customers!$A$1:$A$1001,customers!$C$1:$C$1001, ,0)=0,"",_xlfn.XLOOKUP(C561,customers!$A$1:$A$1001,customers!$C$1:$C$1001, ,0))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c r="Q561" s="5">
        <f>_xlfn.XLOOKUP(Orders[[#This Row],[Product ID]],products!$A$1:$A$49,products!$G$1:$G$49) *Orders[[#This Row],[Quantity]]</f>
        <v>3.4965000000000002</v>
      </c>
    </row>
    <row r="562" spans="1:17" x14ac:dyDescent="0.25">
      <c r="A562" s="2" t="s">
        <v>3654</v>
      </c>
      <c r="B562" s="3">
        <v>44401</v>
      </c>
      <c r="C562" s="2" t="s">
        <v>3655</v>
      </c>
      <c r="D562" t="s">
        <v>6166</v>
      </c>
      <c r="E562" s="2">
        <v>6</v>
      </c>
      <c r="F562" s="2" t="str">
        <f>_xlfn.XLOOKUP(C562,customers!$A$1:$A$1001,customers!$B$1:$B$1001,,0)</f>
        <v>Hatty Dovydenas</v>
      </c>
      <c r="G562" s="2" t="str">
        <f>IF(_xlfn.XLOOKUP(C562,customers!$A$1:$A$1001,customers!$C$1:$C$1001, ,0)=0,"",_xlfn.XLOOKUP(C562,customers!$A$1:$A$1001,customers!$C$1:$C$1001, ,0))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c r="Q562" s="5">
        <f>_xlfn.XLOOKUP(Orders[[#This Row],[Product ID]],products!$A$1:$A$49,products!$G$1:$G$49) *Orders[[#This Row],[Quantity]]</f>
        <v>20.872499999999999</v>
      </c>
    </row>
    <row r="563" spans="1:17"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 ,0)=0,"",_xlfn.XLOOKUP(C563,customers!$A$1:$A$1001,customers!$C$1:$C$1001, ,0))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c r="Q563" s="5">
        <f>_xlfn.XLOOKUP(Orders[[#This Row],[Product ID]],products!$A$1:$A$49,products!$G$1:$G$49) *Orders[[#This Row],[Quantity]]</f>
        <v>1.6118999999999999</v>
      </c>
    </row>
    <row r="564" spans="1:17" x14ac:dyDescent="0.25">
      <c r="A564" s="2" t="s">
        <v>3665</v>
      </c>
      <c r="B564" s="3">
        <v>43669</v>
      </c>
      <c r="C564" s="2" t="s">
        <v>3666</v>
      </c>
      <c r="D564" t="s">
        <v>6145</v>
      </c>
      <c r="E564" s="2">
        <v>6</v>
      </c>
      <c r="F564" s="2" t="str">
        <f>_xlfn.XLOOKUP(C564,customers!$A$1:$A$1001,customers!$B$1:$B$1001,,0)</f>
        <v>Brendan Grece</v>
      </c>
      <c r="G564" s="2" t="str">
        <f>IF(_xlfn.XLOOKUP(C564,customers!$A$1:$A$1001,customers!$C$1:$C$1001, ,0)=0,"",_xlfn.XLOOKUP(C564,customers!$A$1:$A$1001,customers!$C$1:$C$1001, ,0))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c r="Q564" s="5">
        <f>_xlfn.XLOOKUP(Orders[[#This Row],[Product ID]],products!$A$1:$A$49,products!$G$1:$G$49) *Orders[[#This Row],[Quantity]]</f>
        <v>3.7088999999999999</v>
      </c>
    </row>
    <row r="565" spans="1:17" x14ac:dyDescent="0.25">
      <c r="A565" s="2" t="s">
        <v>3671</v>
      </c>
      <c r="B565" s="3">
        <v>43991</v>
      </c>
      <c r="C565" s="2" t="s">
        <v>3752</v>
      </c>
      <c r="D565" t="s">
        <v>6141</v>
      </c>
      <c r="E565" s="2">
        <v>6</v>
      </c>
      <c r="F565" s="2" t="str">
        <f>_xlfn.XLOOKUP(C565,customers!$A$1:$A$1001,customers!$B$1:$B$1001,,0)</f>
        <v>Don Flintiff</v>
      </c>
      <c r="G565" s="2" t="str">
        <f>IF(_xlfn.XLOOKUP(C565,customers!$A$1:$A$1001,customers!$C$1:$C$1001, ,0)=0,"",_xlfn.XLOOKUP(C565,customers!$A$1:$A$1001,customers!$C$1:$C$1001, ,0))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c r="Q565" s="5">
        <f>_xlfn.XLOOKUP(Orders[[#This Row],[Product ID]],products!$A$1:$A$49,products!$G$1:$G$49) *Orders[[#This Row],[Quantity]]</f>
        <v>9.0749999999999993</v>
      </c>
    </row>
    <row r="566" spans="1:17" x14ac:dyDescent="0.25">
      <c r="A566" s="2" t="s">
        <v>3677</v>
      </c>
      <c r="B566" s="3">
        <v>43883</v>
      </c>
      <c r="C566" s="2" t="s">
        <v>3678</v>
      </c>
      <c r="D566" t="s">
        <v>6173</v>
      </c>
      <c r="E566" s="2">
        <v>2</v>
      </c>
      <c r="F566" s="2" t="str">
        <f>_xlfn.XLOOKUP(C566,customers!$A$1:$A$1001,customers!$B$1:$B$1001,,0)</f>
        <v>Abbe Thys</v>
      </c>
      <c r="G566" s="2" t="str">
        <f>IF(_xlfn.XLOOKUP(C566,customers!$A$1:$A$1001,customers!$C$1:$C$1001, ,0)=0,"",_xlfn.XLOOKUP(C566,customers!$A$1:$A$1001,customers!$C$1:$C$1001, ,0))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c r="Q566" s="5">
        <f>_xlfn.XLOOKUP(Orders[[#This Row],[Product ID]],products!$A$1:$A$49,products!$G$1:$G$49) *Orders[[#This Row],[Quantity]]</f>
        <v>0.86039999999999983</v>
      </c>
    </row>
    <row r="567" spans="1:17" x14ac:dyDescent="0.25">
      <c r="A567" s="2" t="s">
        <v>3683</v>
      </c>
      <c r="B567" s="3">
        <v>44031</v>
      </c>
      <c r="C567" s="2" t="s">
        <v>3684</v>
      </c>
      <c r="D567" t="s">
        <v>6149</v>
      </c>
      <c r="E567" s="2">
        <v>4</v>
      </c>
      <c r="F567" s="2" t="str">
        <f>_xlfn.XLOOKUP(C567,customers!$A$1:$A$1001,customers!$B$1:$B$1001,,0)</f>
        <v>Jackquelin Chugg</v>
      </c>
      <c r="G567" s="2" t="str">
        <f>IF(_xlfn.XLOOKUP(C567,customers!$A$1:$A$1001,customers!$C$1:$C$1001, ,0)=0,"",_xlfn.XLOOKUP(C567,customers!$A$1:$A$1001,customers!$C$1:$C$1001, ,0))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c r="Q567" s="5">
        <f>_xlfn.XLOOKUP(Orders[[#This Row],[Product ID]],products!$A$1:$A$49,products!$G$1:$G$49) *Orders[[#This Row],[Quantity]]</f>
        <v>4.9403999999999995</v>
      </c>
    </row>
    <row r="568" spans="1:17" x14ac:dyDescent="0.25">
      <c r="A568" s="2" t="s">
        <v>3689</v>
      </c>
      <c r="B568" s="3">
        <v>44459</v>
      </c>
      <c r="C568" s="2" t="s">
        <v>3690</v>
      </c>
      <c r="D568" t="s">
        <v>6152</v>
      </c>
      <c r="E568" s="2">
        <v>6</v>
      </c>
      <c r="F568" s="2" t="str">
        <f>_xlfn.XLOOKUP(C568,customers!$A$1:$A$1001,customers!$B$1:$B$1001,,0)</f>
        <v>Audra Kelston</v>
      </c>
      <c r="G568" s="2" t="str">
        <f>IF(_xlfn.XLOOKUP(C568,customers!$A$1:$A$1001,customers!$C$1:$C$1001, ,0)=0,"",_xlfn.XLOOKUP(C568,customers!$A$1:$A$1001,customers!$C$1:$C$1001, ,0))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c r="Q568" s="5">
        <f>_xlfn.XLOOKUP(Orders[[#This Row],[Product ID]],products!$A$1:$A$49,products!$G$1:$G$49) *Orders[[#This Row],[Quantity]]</f>
        <v>1.8224999999999998</v>
      </c>
    </row>
    <row r="569" spans="1:17" x14ac:dyDescent="0.25">
      <c r="A569" s="2" t="s">
        <v>3695</v>
      </c>
      <c r="B569" s="3">
        <v>44318</v>
      </c>
      <c r="C569" s="2" t="s">
        <v>3696</v>
      </c>
      <c r="D569" t="s">
        <v>6142</v>
      </c>
      <c r="E569" s="2">
        <v>6</v>
      </c>
      <c r="F569" s="2" t="str">
        <f>_xlfn.XLOOKUP(C569,customers!$A$1:$A$1001,customers!$B$1:$B$1001,,0)</f>
        <v>Elvina Angel</v>
      </c>
      <c r="G569" s="2" t="str">
        <f>IF(_xlfn.XLOOKUP(C569,customers!$A$1:$A$1001,customers!$C$1:$C$1001, ,0)=0,"",_xlfn.XLOOKUP(C569,customers!$A$1:$A$1001,customers!$C$1:$C$1001, ,0))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c r="Q569" s="5">
        <f>_xlfn.XLOOKUP(Orders[[#This Row],[Product ID]],products!$A$1:$A$49,products!$G$1:$G$49) *Orders[[#This Row],[Quantity]]</f>
        <v>9.8945999999999987</v>
      </c>
    </row>
    <row r="570" spans="1:17"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 ,0)=0,"",_xlfn.XLOOKUP(C570,customers!$A$1:$A$1001,customers!$C$1:$C$1001, ,0))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c r="Q570" s="5">
        <f>_xlfn.XLOOKUP(Orders[[#This Row],[Product ID]],products!$A$1:$A$49,products!$G$1:$G$49) *Orders[[#This Row],[Quantity]]</f>
        <v>2.4725999999999999</v>
      </c>
    </row>
    <row r="571" spans="1:17" x14ac:dyDescent="0.25">
      <c r="A571" s="2" t="s">
        <v>3706</v>
      </c>
      <c r="B571" s="3">
        <v>43879</v>
      </c>
      <c r="C571" s="2" t="s">
        <v>3752</v>
      </c>
      <c r="D571" t="s">
        <v>6168</v>
      </c>
      <c r="E571" s="2">
        <v>6</v>
      </c>
      <c r="F571" s="2" t="str">
        <f>_xlfn.XLOOKUP(C571,customers!$A$1:$A$1001,customers!$B$1:$B$1001,,0)</f>
        <v>Don Flintiff</v>
      </c>
      <c r="G571" s="2" t="str">
        <f>IF(_xlfn.XLOOKUP(C571,customers!$A$1:$A$1001,customers!$C$1:$C$1001, ,0)=0,"",_xlfn.XLOOKUP(C571,customers!$A$1:$A$1001,customers!$C$1:$C$1001, ,0))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c r="Q571" s="5">
        <f>_xlfn.XLOOKUP(Orders[[#This Row],[Product ID]],products!$A$1:$A$49,products!$G$1:$G$49) *Orders[[#This Row],[Quantity]]</f>
        <v>12.357899999999997</v>
      </c>
    </row>
    <row r="572" spans="1:17" x14ac:dyDescent="0.25">
      <c r="A572" s="2" t="s">
        <v>3712</v>
      </c>
      <c r="B572" s="3">
        <v>43928</v>
      </c>
      <c r="C572" s="2" t="s">
        <v>3713</v>
      </c>
      <c r="D572" t="s">
        <v>6157</v>
      </c>
      <c r="E572" s="2">
        <v>4</v>
      </c>
      <c r="F572" s="2" t="str">
        <f>_xlfn.XLOOKUP(C572,customers!$A$1:$A$1001,customers!$B$1:$B$1001,,0)</f>
        <v>Donalt Sangwin</v>
      </c>
      <c r="G572" s="2" t="str">
        <f>IF(_xlfn.XLOOKUP(C572,customers!$A$1:$A$1001,customers!$C$1:$C$1001, ,0)=0,"",_xlfn.XLOOKUP(C572,customers!$A$1:$A$1001,customers!$C$1:$C$1001, ,0))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c r="Q572" s="5">
        <f>_xlfn.XLOOKUP(Orders[[#This Row],[Product ID]],products!$A$1:$A$49,products!$G$1:$G$49) *Orders[[#This Row],[Quantity]]</f>
        <v>2.4299999999999997</v>
      </c>
    </row>
    <row r="573" spans="1:17"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 ,0)=0,"",_xlfn.XLOOKUP(C573,customers!$A$1:$A$1001,customers!$C$1:$C$1001, ,0))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c r="Q573" s="5">
        <f>_xlfn.XLOOKUP(Orders[[#This Row],[Product ID]],products!$A$1:$A$49,products!$G$1:$G$49) *Orders[[#This Row],[Quantity]]</f>
        <v>3.9203999999999999</v>
      </c>
    </row>
    <row r="574" spans="1:17" x14ac:dyDescent="0.25">
      <c r="A574" s="2" t="s">
        <v>3724</v>
      </c>
      <c r="B574" s="3">
        <v>43515</v>
      </c>
      <c r="C574" s="2" t="s">
        <v>3725</v>
      </c>
      <c r="D574" t="s">
        <v>6154</v>
      </c>
      <c r="E574" s="2">
        <v>2</v>
      </c>
      <c r="F574" s="2" t="str">
        <f>_xlfn.XLOOKUP(C574,customers!$A$1:$A$1001,customers!$B$1:$B$1001,,0)</f>
        <v>Herbie Peppard</v>
      </c>
      <c r="G574" s="2" t="str">
        <f>IF(_xlfn.XLOOKUP(C574,customers!$A$1:$A$1001,customers!$C$1:$C$1001, ,0)=0,"",_xlfn.XLOOKUP(C574,customers!$A$1:$A$1001,customers!$C$1:$C$1001, ,0))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c r="Q574" s="5">
        <f>_xlfn.XLOOKUP(Orders[[#This Row],[Product ID]],products!$A$1:$A$49,products!$G$1:$G$49) *Orders[[#This Row],[Quantity]]</f>
        <v>0.5373</v>
      </c>
    </row>
    <row r="575" spans="1:17" x14ac:dyDescent="0.25">
      <c r="A575" s="2" t="s">
        <v>3728</v>
      </c>
      <c r="B575" s="3">
        <v>43781</v>
      </c>
      <c r="C575" s="2" t="s">
        <v>3729</v>
      </c>
      <c r="D575" t="s">
        <v>6155</v>
      </c>
      <c r="E575" s="2">
        <v>6</v>
      </c>
      <c r="F575" s="2" t="str">
        <f>_xlfn.XLOOKUP(C575,customers!$A$1:$A$1001,customers!$B$1:$B$1001,,0)</f>
        <v>Cornie Venour</v>
      </c>
      <c r="G575" s="2" t="str">
        <f>IF(_xlfn.XLOOKUP(C575,customers!$A$1:$A$1001,customers!$C$1:$C$1001, ,0)=0,"",_xlfn.XLOOKUP(C575,customers!$A$1:$A$1001,customers!$C$1:$C$1001, ,0))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c r="Q575" s="5">
        <f>_xlfn.XLOOKUP(Orders[[#This Row],[Product ID]],products!$A$1:$A$49,products!$G$1:$G$49) *Orders[[#This Row],[Quantity]]</f>
        <v>6.0749999999999993</v>
      </c>
    </row>
    <row r="576" spans="1:17" x14ac:dyDescent="0.25">
      <c r="A576" s="2" t="s">
        <v>3734</v>
      </c>
      <c r="B576" s="3">
        <v>44697</v>
      </c>
      <c r="C576" s="2" t="s">
        <v>3735</v>
      </c>
      <c r="D576" t="s">
        <v>6178</v>
      </c>
      <c r="E576" s="2">
        <v>6</v>
      </c>
      <c r="F576" s="2" t="str">
        <f>_xlfn.XLOOKUP(C576,customers!$A$1:$A$1001,customers!$B$1:$B$1001,,0)</f>
        <v>Maggy Harby</v>
      </c>
      <c r="G576" s="2" t="str">
        <f>IF(_xlfn.XLOOKUP(C576,customers!$A$1:$A$1001,customers!$C$1:$C$1001, ,0)=0,"",_xlfn.XLOOKUP(C576,customers!$A$1:$A$1001,customers!$C$1:$C$1001, ,0))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c r="Q576" s="5">
        <f>_xlfn.XLOOKUP(Orders[[#This Row],[Product ID]],products!$A$1:$A$49,products!$G$1:$G$49) *Orders[[#This Row],[Quantity]]</f>
        <v>1.2905999999999997</v>
      </c>
    </row>
    <row r="577" spans="1:17"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 ,0)=0,"",_xlfn.XLOOKUP(C577,customers!$A$1:$A$1001,customers!$C$1:$C$1001, ,0))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c r="Q577" s="5">
        <f>_xlfn.XLOOKUP(Orders[[#This Row],[Product ID]],products!$A$1:$A$49,products!$G$1:$G$49) *Orders[[#This Row],[Quantity]]</f>
        <v>8.700899999999999</v>
      </c>
    </row>
    <row r="578" spans="1:17" x14ac:dyDescent="0.25">
      <c r="A578" s="2" t="s">
        <v>3745</v>
      </c>
      <c r="B578" s="3">
        <v>44290</v>
      </c>
      <c r="C578" s="2" t="s">
        <v>3746</v>
      </c>
      <c r="D578" t="s">
        <v>6154</v>
      </c>
      <c r="E578" s="2">
        <v>6</v>
      </c>
      <c r="F578" s="2" t="str">
        <f>_xlfn.XLOOKUP(C578,customers!$A$1:$A$1001,customers!$B$1:$B$1001,,0)</f>
        <v>Phyllys Ormerod</v>
      </c>
      <c r="G578" s="2" t="str">
        <f>IF(_xlfn.XLOOKUP(C578,customers!$A$1:$A$1001,customers!$C$1:$C$1001, ,0)=0,"",_xlfn.XLOOKUP(C578,customers!$A$1:$A$1001,customers!$C$1:$C$1001, ,0))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c r="Q578" s="5">
        <f>_xlfn.XLOOKUP(Orders[[#This Row],[Product ID]],products!$A$1:$A$49,products!$G$1:$G$49) *Orders[[#This Row],[Quantity]]</f>
        <v>1.6118999999999999</v>
      </c>
    </row>
    <row r="579" spans="1:17" x14ac:dyDescent="0.25">
      <c r="A579" s="2" t="s">
        <v>3751</v>
      </c>
      <c r="B579" s="3">
        <v>44410</v>
      </c>
      <c r="C579" s="2" t="s">
        <v>3752</v>
      </c>
      <c r="D579" t="s">
        <v>6162</v>
      </c>
      <c r="E579" s="2">
        <v>4</v>
      </c>
      <c r="F579" s="2" t="str">
        <f>_xlfn.XLOOKUP(C579,customers!$A$1:$A$1001,customers!$B$1:$B$1001,,0)</f>
        <v>Don Flintiff</v>
      </c>
      <c r="G579" s="2" t="str">
        <f>IF(_xlfn.XLOOKUP(C579,customers!$A$1:$A$1001,customers!$C$1:$C$1001, ,0)=0,"",_xlfn.XLOOKUP(C579,customers!$A$1:$A$1001,customers!$C$1:$C$1001, ,0))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 = "Lib","Liberica"))))</f>
        <v>Liberica</v>
      </c>
      <c r="O579" t="str">
        <f t="shared" ref="O579:O642" si="29">IF(J579="L","Light",IF(J579="M","Medium",IF(J579="D","Dark")))</f>
        <v>Medium</v>
      </c>
      <c r="P579" t="str">
        <f>_xlfn.XLOOKUP(Orders[[#This Row],[Customer ID]],customers!$A$1:$A$1001,customers!$I$1:$I$1001,,0)</f>
        <v>No</v>
      </c>
      <c r="Q579" s="5">
        <f>_xlfn.XLOOKUP(Orders[[#This Row],[Product ID]],products!$A$1:$A$49,products!$G$1:$G$49) *Orders[[#This Row],[Quantity]]</f>
        <v>7.5660000000000007</v>
      </c>
    </row>
    <row r="580" spans="1:17" x14ac:dyDescent="0.25">
      <c r="A580" s="2" t="s">
        <v>3756</v>
      </c>
      <c r="B580" s="3">
        <v>44720</v>
      </c>
      <c r="C580" s="2" t="s">
        <v>3757</v>
      </c>
      <c r="D580" t="s">
        <v>6184</v>
      </c>
      <c r="E580" s="2">
        <v>3</v>
      </c>
      <c r="F580" s="2" t="str">
        <f>_xlfn.XLOOKUP(C580,customers!$A$1:$A$1001,customers!$B$1:$B$1001,,0)</f>
        <v>Tymon Zanetti</v>
      </c>
      <c r="G580" s="2" t="str">
        <f>IF(_xlfn.XLOOKUP(C580,customers!$A$1:$A$1001,customers!$C$1:$C$1001, ,0)=0,"",_xlfn.XLOOKUP(C580,customers!$A$1:$A$1001,customers!$C$1:$C$1001, ,0))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c r="Q580" s="5">
        <f>_xlfn.XLOOKUP(Orders[[#This Row],[Product ID]],products!$A$1:$A$49,products!$G$1:$G$49) *Orders[[#This Row],[Quantity]]</f>
        <v>1.4701499999999998</v>
      </c>
    </row>
    <row r="581" spans="1:17" x14ac:dyDescent="0.25">
      <c r="A581" s="2" t="s">
        <v>3756</v>
      </c>
      <c r="B581" s="3">
        <v>44720</v>
      </c>
      <c r="C581" s="2" t="s">
        <v>3757</v>
      </c>
      <c r="D581" t="s">
        <v>6157</v>
      </c>
      <c r="E581" s="2">
        <v>5</v>
      </c>
      <c r="F581" s="2" t="str">
        <f>_xlfn.XLOOKUP(C581,customers!$A$1:$A$1001,customers!$B$1:$B$1001,,0)</f>
        <v>Tymon Zanetti</v>
      </c>
      <c r="G581" s="2" t="str">
        <f>IF(_xlfn.XLOOKUP(C581,customers!$A$1:$A$1001,customers!$C$1:$C$1001, ,0)=0,"",_xlfn.XLOOKUP(C581,customers!$A$1:$A$1001,customers!$C$1:$C$1001, ,0))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c r="Q581" s="5">
        <f>_xlfn.XLOOKUP(Orders[[#This Row],[Product ID]],products!$A$1:$A$49,products!$G$1:$G$49) *Orders[[#This Row],[Quantity]]</f>
        <v>3.0374999999999996</v>
      </c>
    </row>
    <row r="582" spans="1:17"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 ,0)=0,"",_xlfn.XLOOKUP(C582,customers!$A$1:$A$1001,customers!$C$1:$C$1001, ,0))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c r="Q582" s="5">
        <f>_xlfn.XLOOKUP(Orders[[#This Row],[Product ID]],products!$A$1:$A$49,products!$G$1:$G$49) *Orders[[#This Row],[Quantity]]</f>
        <v>4.9005000000000001</v>
      </c>
    </row>
    <row r="583" spans="1:17" x14ac:dyDescent="0.25">
      <c r="A583" s="2" t="s">
        <v>3773</v>
      </c>
      <c r="B583" s="3">
        <v>44190</v>
      </c>
      <c r="C583" s="2" t="s">
        <v>3774</v>
      </c>
      <c r="D583" t="s">
        <v>6176</v>
      </c>
      <c r="E583" s="2">
        <v>5</v>
      </c>
      <c r="F583" s="2" t="str">
        <f>_xlfn.XLOOKUP(C583,customers!$A$1:$A$1001,customers!$B$1:$B$1001,,0)</f>
        <v>Carney Clemencet</v>
      </c>
      <c r="G583" s="2" t="str">
        <f>IF(_xlfn.XLOOKUP(C583,customers!$A$1:$A$1001,customers!$C$1:$C$1001, ,0)=0,"",_xlfn.XLOOKUP(C583,customers!$A$1:$A$1001,customers!$C$1:$C$1001, ,0))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c r="Q583" s="5">
        <f>_xlfn.XLOOKUP(Orders[[#This Row],[Product ID]],products!$A$1:$A$49,products!$G$1:$G$49) *Orders[[#This Row],[Quantity]]</f>
        <v>4.9005000000000001</v>
      </c>
    </row>
    <row r="584" spans="1:17" x14ac:dyDescent="0.25">
      <c r="A584" s="2" t="s">
        <v>3778</v>
      </c>
      <c r="B584" s="3">
        <v>44382</v>
      </c>
      <c r="C584" s="2" t="s">
        <v>3779</v>
      </c>
      <c r="D584" t="s">
        <v>6183</v>
      </c>
      <c r="E584" s="2">
        <v>5</v>
      </c>
      <c r="F584" s="2" t="str">
        <f>_xlfn.XLOOKUP(C584,customers!$A$1:$A$1001,customers!$B$1:$B$1001,,0)</f>
        <v>Russell Donet</v>
      </c>
      <c r="G584" s="2" t="str">
        <f>IF(_xlfn.XLOOKUP(C584,customers!$A$1:$A$1001,customers!$C$1:$C$1001, ,0)=0,"",_xlfn.XLOOKUP(C584,customers!$A$1:$A$1001,customers!$C$1:$C$1001, ,0))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c r="Q584" s="5">
        <f>_xlfn.XLOOKUP(Orders[[#This Row],[Product ID]],products!$A$1:$A$49,products!$G$1:$G$49) *Orders[[#This Row],[Quantity]]</f>
        <v>6.6825000000000001</v>
      </c>
    </row>
    <row r="585" spans="1:17" x14ac:dyDescent="0.25">
      <c r="A585" s="2" t="s">
        <v>3784</v>
      </c>
      <c r="B585" s="3">
        <v>43538</v>
      </c>
      <c r="C585" s="2" t="s">
        <v>3785</v>
      </c>
      <c r="D585" t="s">
        <v>6178</v>
      </c>
      <c r="E585" s="2">
        <v>1</v>
      </c>
      <c r="F585" s="2" t="str">
        <f>_xlfn.XLOOKUP(C585,customers!$A$1:$A$1001,customers!$B$1:$B$1001,,0)</f>
        <v>Sidney Gawen</v>
      </c>
      <c r="G585" s="2" t="str">
        <f>IF(_xlfn.XLOOKUP(C585,customers!$A$1:$A$1001,customers!$C$1:$C$1001, ,0)=0,"",_xlfn.XLOOKUP(C585,customers!$A$1:$A$1001,customers!$C$1:$C$1001, ,0))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c r="Q585" s="5">
        <f>_xlfn.XLOOKUP(Orders[[#This Row],[Product ID]],products!$A$1:$A$49,products!$G$1:$G$49) *Orders[[#This Row],[Quantity]]</f>
        <v>0.21509999999999996</v>
      </c>
    </row>
    <row r="586" spans="1:17" x14ac:dyDescent="0.25">
      <c r="A586" s="2" t="s">
        <v>3790</v>
      </c>
      <c r="B586" s="3">
        <v>44262</v>
      </c>
      <c r="C586" s="2" t="s">
        <v>3791</v>
      </c>
      <c r="D586" t="s">
        <v>6178</v>
      </c>
      <c r="E586" s="2">
        <v>6</v>
      </c>
      <c r="F586" s="2" t="str">
        <f>_xlfn.XLOOKUP(C586,customers!$A$1:$A$1001,customers!$B$1:$B$1001,,0)</f>
        <v>Rickey Readie</v>
      </c>
      <c r="G586" s="2" t="str">
        <f>IF(_xlfn.XLOOKUP(C586,customers!$A$1:$A$1001,customers!$C$1:$C$1001, ,0)=0,"",_xlfn.XLOOKUP(C586,customers!$A$1:$A$1001,customers!$C$1:$C$1001, ,0))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c r="Q586" s="5">
        <f>_xlfn.XLOOKUP(Orders[[#This Row],[Product ID]],products!$A$1:$A$49,products!$G$1:$G$49) *Orders[[#This Row],[Quantity]]</f>
        <v>1.2905999999999997</v>
      </c>
    </row>
    <row r="587" spans="1:17" x14ac:dyDescent="0.25">
      <c r="A587" s="2" t="s">
        <v>3796</v>
      </c>
      <c r="B587" s="3">
        <v>44505</v>
      </c>
      <c r="C587" s="2" t="s">
        <v>3840</v>
      </c>
      <c r="D587" t="s">
        <v>6139</v>
      </c>
      <c r="E587" s="2">
        <v>2</v>
      </c>
      <c r="F587" s="2" t="str">
        <f>_xlfn.XLOOKUP(C587,customers!$A$1:$A$1001,customers!$B$1:$B$1001,,0)</f>
        <v>Cody Verissimo</v>
      </c>
      <c r="G587" s="2" t="str">
        <f>IF(_xlfn.XLOOKUP(C587,customers!$A$1:$A$1001,customers!$C$1:$C$1001, ,0)=0,"",_xlfn.XLOOKUP(C587,customers!$A$1:$A$1001,customers!$C$1:$C$1001, ,0))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c r="Q587" s="5">
        <f>_xlfn.XLOOKUP(Orders[[#This Row],[Product ID]],products!$A$1:$A$49,products!$G$1:$G$49) *Orders[[#This Row],[Quantity]]</f>
        <v>1.8149999999999999</v>
      </c>
    </row>
    <row r="588" spans="1:17" x14ac:dyDescent="0.25">
      <c r="A588" s="2" t="s">
        <v>3802</v>
      </c>
      <c r="B588" s="3">
        <v>43867</v>
      </c>
      <c r="C588" s="2" t="s">
        <v>3803</v>
      </c>
      <c r="D588" t="s">
        <v>6142</v>
      </c>
      <c r="E588" s="2">
        <v>3</v>
      </c>
      <c r="F588" s="2" t="str">
        <f>_xlfn.XLOOKUP(C588,customers!$A$1:$A$1001,customers!$B$1:$B$1001,,0)</f>
        <v>Zilvia Claisse</v>
      </c>
      <c r="G588" s="2" t="str">
        <f>IF(_xlfn.XLOOKUP(C588,customers!$A$1:$A$1001,customers!$C$1:$C$1001, ,0)=0,"",_xlfn.XLOOKUP(C588,customers!$A$1:$A$1001,customers!$C$1:$C$1001, ,0))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c r="Q588" s="5">
        <f>_xlfn.XLOOKUP(Orders[[#This Row],[Product ID]],products!$A$1:$A$49,products!$G$1:$G$49) *Orders[[#This Row],[Quantity]]</f>
        <v>4.9472999999999994</v>
      </c>
    </row>
    <row r="589" spans="1:17" x14ac:dyDescent="0.25">
      <c r="A589" s="2" t="s">
        <v>3807</v>
      </c>
      <c r="B589" s="3">
        <v>44267</v>
      </c>
      <c r="C589" s="2" t="s">
        <v>3808</v>
      </c>
      <c r="D589" t="s">
        <v>6169</v>
      </c>
      <c r="E589" s="2">
        <v>1</v>
      </c>
      <c r="F589" s="2" t="str">
        <f>_xlfn.XLOOKUP(C589,customers!$A$1:$A$1001,customers!$B$1:$B$1001,,0)</f>
        <v>Bar O' Mahony</v>
      </c>
      <c r="G589" s="2" t="str">
        <f>IF(_xlfn.XLOOKUP(C589,customers!$A$1:$A$1001,customers!$C$1:$C$1001, ,0)=0,"",_xlfn.XLOOKUP(C589,customers!$A$1:$A$1001,customers!$C$1:$C$1001, ,0))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c r="Q589" s="5">
        <f>_xlfn.XLOOKUP(Orders[[#This Row],[Product ID]],products!$A$1:$A$49,products!$G$1:$G$49) *Orders[[#This Row],[Quantity]]</f>
        <v>1.0101</v>
      </c>
    </row>
    <row r="590" spans="1:17"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 ,0)=0,"",_xlfn.XLOOKUP(C590,customers!$A$1:$A$1001,customers!$C$1:$C$1001, ,0))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c r="Q590" s="5">
        <f>_xlfn.XLOOKUP(Orders[[#This Row],[Product ID]],products!$A$1:$A$49,products!$G$1:$G$49) *Orders[[#This Row],[Quantity]]</f>
        <v>0.71639999999999993</v>
      </c>
    </row>
    <row r="591" spans="1:17" x14ac:dyDescent="0.25">
      <c r="A591" s="2" t="s">
        <v>3818</v>
      </c>
      <c r="B591" s="3">
        <v>43671</v>
      </c>
      <c r="C591" s="2" t="s">
        <v>3819</v>
      </c>
      <c r="D591" t="s">
        <v>6148</v>
      </c>
      <c r="E591" s="2">
        <v>6</v>
      </c>
      <c r="F591" s="2" t="str">
        <f>_xlfn.XLOOKUP(C591,customers!$A$1:$A$1001,customers!$B$1:$B$1001,,0)</f>
        <v>Daniel Heinonen</v>
      </c>
      <c r="G591" s="2" t="str">
        <f>IF(_xlfn.XLOOKUP(C591,customers!$A$1:$A$1001,customers!$C$1:$C$1001, ,0)=0,"",_xlfn.XLOOKUP(C591,customers!$A$1:$A$1001,customers!$C$1:$C$1001, ,0))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c r="Q591" s="5">
        <f>_xlfn.XLOOKUP(Orders[[#This Row],[Product ID]],products!$A$1:$A$49,products!$G$1:$G$49) *Orders[[#This Row],[Quantity]]</f>
        <v>22.542299999999997</v>
      </c>
    </row>
    <row r="592" spans="1:17" x14ac:dyDescent="0.25">
      <c r="A592" s="2" t="s">
        <v>3823</v>
      </c>
      <c r="B592" s="3">
        <v>43950</v>
      </c>
      <c r="C592" s="2" t="s">
        <v>3824</v>
      </c>
      <c r="D592" t="s">
        <v>6166</v>
      </c>
      <c r="E592" s="2">
        <v>2</v>
      </c>
      <c r="F592" s="2" t="str">
        <f>_xlfn.XLOOKUP(C592,customers!$A$1:$A$1001,customers!$B$1:$B$1001,,0)</f>
        <v>Jewelle Shenton</v>
      </c>
      <c r="G592" s="2" t="str">
        <f>IF(_xlfn.XLOOKUP(C592,customers!$A$1:$A$1001,customers!$C$1:$C$1001, ,0)=0,"",_xlfn.XLOOKUP(C592,customers!$A$1:$A$1001,customers!$C$1:$C$1001, ,0))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c r="Q592" s="5">
        <f>_xlfn.XLOOKUP(Orders[[#This Row],[Product ID]],products!$A$1:$A$49,products!$G$1:$G$49) *Orders[[#This Row],[Quantity]]</f>
        <v>6.9574999999999996</v>
      </c>
    </row>
    <row r="593" spans="1:17"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 ,0)=0,"",_xlfn.XLOOKUP(C593,customers!$A$1:$A$1001,customers!$C$1:$C$1001, ,0))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c r="Q593" s="5">
        <f>_xlfn.XLOOKUP(Orders[[#This Row],[Product ID]],products!$A$1:$A$49,products!$G$1:$G$49) *Orders[[#This Row],[Quantity]]</f>
        <v>0.4832999999999999</v>
      </c>
    </row>
    <row r="594" spans="1:17" x14ac:dyDescent="0.25">
      <c r="A594" s="2" t="s">
        <v>3834</v>
      </c>
      <c r="B594" s="3">
        <v>44437</v>
      </c>
      <c r="C594" s="2" t="s">
        <v>3835</v>
      </c>
      <c r="D594" t="s">
        <v>6175</v>
      </c>
      <c r="E594" s="2">
        <v>2</v>
      </c>
      <c r="F594" s="2" t="str">
        <f>_xlfn.XLOOKUP(C594,customers!$A$1:$A$1001,customers!$B$1:$B$1001,,0)</f>
        <v>Kylie Mowat</v>
      </c>
      <c r="G594" s="2" t="str">
        <f>IF(_xlfn.XLOOKUP(C594,customers!$A$1:$A$1001,customers!$C$1:$C$1001, ,0)=0,"",_xlfn.XLOOKUP(C594,customers!$A$1:$A$1001,customers!$C$1:$C$1001, ,0))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c r="Q594" s="5">
        <f>_xlfn.XLOOKUP(Orders[[#This Row],[Product ID]],products!$A$1:$A$49,products!$G$1:$G$49) *Orders[[#This Row],[Quantity]]</f>
        <v>4.6574999999999989</v>
      </c>
    </row>
    <row r="595" spans="1:17" x14ac:dyDescent="0.25">
      <c r="A595" s="2" t="s">
        <v>3839</v>
      </c>
      <c r="B595" s="3">
        <v>43903</v>
      </c>
      <c r="C595" s="2" t="s">
        <v>3840</v>
      </c>
      <c r="D595" t="s">
        <v>6185</v>
      </c>
      <c r="E595" s="2">
        <v>1</v>
      </c>
      <c r="F595" s="2" t="str">
        <f>_xlfn.XLOOKUP(C595,customers!$A$1:$A$1001,customers!$B$1:$B$1001,,0)</f>
        <v>Cody Verissimo</v>
      </c>
      <c r="G595" s="2" t="str">
        <f>IF(_xlfn.XLOOKUP(C595,customers!$A$1:$A$1001,customers!$C$1:$C$1001, ,0)=0,"",_xlfn.XLOOKUP(C595,customers!$A$1:$A$1001,customers!$C$1:$C$1001, ,0))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c r="Q595" s="5">
        <f>_xlfn.XLOOKUP(Orders[[#This Row],[Product ID]],products!$A$1:$A$49,products!$G$1:$G$49) *Orders[[#This Row],[Quantity]]</f>
        <v>3.07395</v>
      </c>
    </row>
    <row r="596" spans="1:17" x14ac:dyDescent="0.25">
      <c r="A596" s="2" t="s">
        <v>3844</v>
      </c>
      <c r="B596" s="3">
        <v>43512</v>
      </c>
      <c r="C596" s="2" t="s">
        <v>3845</v>
      </c>
      <c r="D596" t="s">
        <v>6182</v>
      </c>
      <c r="E596" s="2">
        <v>2</v>
      </c>
      <c r="F596" s="2" t="str">
        <f>_xlfn.XLOOKUP(C596,customers!$A$1:$A$1001,customers!$B$1:$B$1001,,0)</f>
        <v>Gabriel Starcks</v>
      </c>
      <c r="G596" s="2" t="str">
        <f>IF(_xlfn.XLOOKUP(C596,customers!$A$1:$A$1001,customers!$C$1:$C$1001, ,0)=0,"",_xlfn.XLOOKUP(C596,customers!$A$1:$A$1001,customers!$C$1:$C$1001, ,0))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c r="Q596" s="5">
        <f>_xlfn.XLOOKUP(Orders[[#This Row],[Product ID]],products!$A$1:$A$49,products!$G$1:$G$49) *Orders[[#This Row],[Quantity]]</f>
        <v>5.3612999999999991</v>
      </c>
    </row>
    <row r="597" spans="1:17" x14ac:dyDescent="0.25">
      <c r="A597" s="2" t="s">
        <v>3850</v>
      </c>
      <c r="B597" s="3">
        <v>44527</v>
      </c>
      <c r="C597" s="2" t="s">
        <v>3851</v>
      </c>
      <c r="D597" t="s">
        <v>6171</v>
      </c>
      <c r="E597" s="2">
        <v>1</v>
      </c>
      <c r="F597" s="2" t="str">
        <f>_xlfn.XLOOKUP(C597,customers!$A$1:$A$1001,customers!$B$1:$B$1001,,0)</f>
        <v>Darby Dummer</v>
      </c>
      <c r="G597" s="2" t="str">
        <f>IF(_xlfn.XLOOKUP(C597,customers!$A$1:$A$1001,customers!$C$1:$C$1001, ,0)=0,"",_xlfn.XLOOKUP(C597,customers!$A$1:$A$1001,customers!$C$1:$C$1001, ,0))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c r="Q597" s="5">
        <f>_xlfn.XLOOKUP(Orders[[#This Row],[Product ID]],products!$A$1:$A$49,products!$G$1:$G$49) *Orders[[#This Row],[Quantity]]</f>
        <v>1.6335</v>
      </c>
    </row>
    <row r="598" spans="1:17" x14ac:dyDescent="0.25">
      <c r="A598" s="2" t="s">
        <v>3854</v>
      </c>
      <c r="B598" s="3">
        <v>44523</v>
      </c>
      <c r="C598" s="2" t="s">
        <v>3855</v>
      </c>
      <c r="D598" t="s">
        <v>6157</v>
      </c>
      <c r="E598" s="2">
        <v>5</v>
      </c>
      <c r="F598" s="2" t="str">
        <f>_xlfn.XLOOKUP(C598,customers!$A$1:$A$1001,customers!$B$1:$B$1001,,0)</f>
        <v>Kienan Scholard</v>
      </c>
      <c r="G598" s="2" t="str">
        <f>IF(_xlfn.XLOOKUP(C598,customers!$A$1:$A$1001,customers!$C$1:$C$1001, ,0)=0,"",_xlfn.XLOOKUP(C598,customers!$A$1:$A$1001,customers!$C$1:$C$1001, ,0))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c r="Q598" s="5">
        <f>_xlfn.XLOOKUP(Orders[[#This Row],[Product ID]],products!$A$1:$A$49,products!$G$1:$G$49) *Orders[[#This Row],[Quantity]]</f>
        <v>3.0374999999999996</v>
      </c>
    </row>
    <row r="599" spans="1:17" x14ac:dyDescent="0.25">
      <c r="A599" s="2" t="s">
        <v>3860</v>
      </c>
      <c r="B599" s="3">
        <v>44532</v>
      </c>
      <c r="C599" s="2" t="s">
        <v>3861</v>
      </c>
      <c r="D599" t="s">
        <v>6164</v>
      </c>
      <c r="E599" s="2">
        <v>4</v>
      </c>
      <c r="F599" s="2" t="str">
        <f>_xlfn.XLOOKUP(C599,customers!$A$1:$A$1001,customers!$B$1:$B$1001,,0)</f>
        <v>Bo Kindley</v>
      </c>
      <c r="G599" s="2" t="str">
        <f>IF(_xlfn.XLOOKUP(C599,customers!$A$1:$A$1001,customers!$C$1:$C$1001, ,0)=0,"",_xlfn.XLOOKUP(C599,customers!$A$1:$A$1001,customers!$C$1:$C$1001, ,0))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c r="Q599" s="5">
        <f>_xlfn.XLOOKUP(Orders[[#This Row],[Product ID]],products!$A$1:$A$49,products!$G$1:$G$49) *Orders[[#This Row],[Quantity]]</f>
        <v>18.956599999999998</v>
      </c>
    </row>
    <row r="600" spans="1:17" x14ac:dyDescent="0.25">
      <c r="A600" s="2" t="s">
        <v>3866</v>
      </c>
      <c r="B600" s="3">
        <v>43471</v>
      </c>
      <c r="C600" s="2" t="s">
        <v>3867</v>
      </c>
      <c r="D600" t="s">
        <v>6174</v>
      </c>
      <c r="E600" s="2">
        <v>4</v>
      </c>
      <c r="F600" s="2" t="str">
        <f>_xlfn.XLOOKUP(C600,customers!$A$1:$A$1001,customers!$B$1:$B$1001,,0)</f>
        <v>Krissie Hammett</v>
      </c>
      <c r="G600" s="2" t="str">
        <f>IF(_xlfn.XLOOKUP(C600,customers!$A$1:$A$1001,customers!$C$1:$C$1001, ,0)=0,"",_xlfn.XLOOKUP(C600,customers!$A$1:$A$1001,customers!$C$1:$C$1001, ,0))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c r="Q600" s="5">
        <f>_xlfn.XLOOKUP(Orders[[#This Row],[Product ID]],products!$A$1:$A$49,products!$G$1:$G$49) *Orders[[#This Row],[Quantity]]</f>
        <v>0.71639999999999993</v>
      </c>
    </row>
    <row r="601" spans="1:17" x14ac:dyDescent="0.25">
      <c r="A601" s="2" t="s">
        <v>3872</v>
      </c>
      <c r="B601" s="3">
        <v>44321</v>
      </c>
      <c r="C601" s="2" t="s">
        <v>3873</v>
      </c>
      <c r="D601" t="s">
        <v>6154</v>
      </c>
      <c r="E601" s="2">
        <v>4</v>
      </c>
      <c r="F601" s="2" t="str">
        <f>_xlfn.XLOOKUP(C601,customers!$A$1:$A$1001,customers!$B$1:$B$1001,,0)</f>
        <v>Alisha Hulburt</v>
      </c>
      <c r="G601" s="2" t="str">
        <f>IF(_xlfn.XLOOKUP(C601,customers!$A$1:$A$1001,customers!$C$1:$C$1001, ,0)=0,"",_xlfn.XLOOKUP(C601,customers!$A$1:$A$1001,customers!$C$1:$C$1001, ,0))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c r="Q601" s="5">
        <f>_xlfn.XLOOKUP(Orders[[#This Row],[Product ID]],products!$A$1:$A$49,products!$G$1:$G$49) *Orders[[#This Row],[Quantity]]</f>
        <v>1.0746</v>
      </c>
    </row>
    <row r="602" spans="1:17" x14ac:dyDescent="0.25">
      <c r="A602" s="2" t="s">
        <v>3877</v>
      </c>
      <c r="B602" s="3">
        <v>44492</v>
      </c>
      <c r="C602" s="2" t="s">
        <v>3878</v>
      </c>
      <c r="D602" t="s">
        <v>6169</v>
      </c>
      <c r="E602" s="2">
        <v>1</v>
      </c>
      <c r="F602" s="2" t="str">
        <f>_xlfn.XLOOKUP(C602,customers!$A$1:$A$1001,customers!$B$1:$B$1001,,0)</f>
        <v>Peyter Lauritzen</v>
      </c>
      <c r="G602" s="2" t="str">
        <f>IF(_xlfn.XLOOKUP(C602,customers!$A$1:$A$1001,customers!$C$1:$C$1001, ,0)=0,"",_xlfn.XLOOKUP(C602,customers!$A$1:$A$1001,customers!$C$1:$C$1001, ,0))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c r="Q602" s="5">
        <f>_xlfn.XLOOKUP(Orders[[#This Row],[Product ID]],products!$A$1:$A$49,products!$G$1:$G$49) *Orders[[#This Row],[Quantity]]</f>
        <v>1.0101</v>
      </c>
    </row>
    <row r="603" spans="1:17" x14ac:dyDescent="0.25">
      <c r="A603" s="2" t="s">
        <v>3883</v>
      </c>
      <c r="B603" s="3">
        <v>43815</v>
      </c>
      <c r="C603" s="2" t="s">
        <v>3884</v>
      </c>
      <c r="D603" t="s">
        <v>6142</v>
      </c>
      <c r="E603" s="2">
        <v>4</v>
      </c>
      <c r="F603" s="2" t="str">
        <f>_xlfn.XLOOKUP(C603,customers!$A$1:$A$1001,customers!$B$1:$B$1001,,0)</f>
        <v>Aurelia Burgwin</v>
      </c>
      <c r="G603" s="2" t="str">
        <f>IF(_xlfn.XLOOKUP(C603,customers!$A$1:$A$1001,customers!$C$1:$C$1001, ,0)=0,"",_xlfn.XLOOKUP(C603,customers!$A$1:$A$1001,customers!$C$1:$C$1001, ,0))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c r="Q603" s="5">
        <f>_xlfn.XLOOKUP(Orders[[#This Row],[Product ID]],products!$A$1:$A$49,products!$G$1:$G$49) *Orders[[#This Row],[Quantity]]</f>
        <v>6.5963999999999992</v>
      </c>
    </row>
    <row r="604" spans="1:17" x14ac:dyDescent="0.25">
      <c r="A604" s="2" t="s">
        <v>3889</v>
      </c>
      <c r="B604" s="3">
        <v>43603</v>
      </c>
      <c r="C604" s="2" t="s">
        <v>3890</v>
      </c>
      <c r="D604" t="s">
        <v>6184</v>
      </c>
      <c r="E604" s="2">
        <v>5</v>
      </c>
      <c r="F604" s="2" t="str">
        <f>_xlfn.XLOOKUP(C604,customers!$A$1:$A$1001,customers!$B$1:$B$1001,,0)</f>
        <v>Emalee Rolin</v>
      </c>
      <c r="G604" s="2" t="str">
        <f>IF(_xlfn.XLOOKUP(C604,customers!$A$1:$A$1001,customers!$C$1:$C$1001, ,0)=0,"",_xlfn.XLOOKUP(C604,customers!$A$1:$A$1001,customers!$C$1:$C$1001, ,0))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c r="Q604" s="5">
        <f>_xlfn.XLOOKUP(Orders[[#This Row],[Product ID]],products!$A$1:$A$49,products!$G$1:$G$49) *Orders[[#This Row],[Quantity]]</f>
        <v>2.45025</v>
      </c>
    </row>
    <row r="605" spans="1:17" x14ac:dyDescent="0.25">
      <c r="A605" s="2" t="s">
        <v>3895</v>
      </c>
      <c r="B605" s="3">
        <v>43660</v>
      </c>
      <c r="C605" s="2" t="s">
        <v>3896</v>
      </c>
      <c r="D605" t="s">
        <v>6174</v>
      </c>
      <c r="E605" s="2">
        <v>3</v>
      </c>
      <c r="F605" s="2" t="str">
        <f>_xlfn.XLOOKUP(C605,customers!$A$1:$A$1001,customers!$B$1:$B$1001,,0)</f>
        <v>Donavon Fowle</v>
      </c>
      <c r="G605" s="2" t="str">
        <f>IF(_xlfn.XLOOKUP(C605,customers!$A$1:$A$1001,customers!$C$1:$C$1001, ,0)=0,"",_xlfn.XLOOKUP(C605,customers!$A$1:$A$1001,customers!$C$1:$C$1001, ,0))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c r="Q605" s="5">
        <f>_xlfn.XLOOKUP(Orders[[#This Row],[Product ID]],products!$A$1:$A$49,products!$G$1:$G$49) *Orders[[#This Row],[Quantity]]</f>
        <v>0.53729999999999989</v>
      </c>
    </row>
    <row r="606" spans="1:17" x14ac:dyDescent="0.25">
      <c r="A606" s="2" t="s">
        <v>3900</v>
      </c>
      <c r="B606" s="3">
        <v>44148</v>
      </c>
      <c r="C606" s="2" t="s">
        <v>3901</v>
      </c>
      <c r="D606" t="s">
        <v>6165</v>
      </c>
      <c r="E606" s="2">
        <v>4</v>
      </c>
      <c r="F606" s="2" t="str">
        <f>_xlfn.XLOOKUP(C606,customers!$A$1:$A$1001,customers!$B$1:$B$1001,,0)</f>
        <v>Jorge Bettison</v>
      </c>
      <c r="G606" s="2" t="str">
        <f>IF(_xlfn.XLOOKUP(C606,customers!$A$1:$A$1001,customers!$C$1:$C$1001, ,0)=0,"",_xlfn.XLOOKUP(C606,customers!$A$1:$A$1001,customers!$C$1:$C$1001, ,0))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c r="Q606" s="5">
        <f>_xlfn.XLOOKUP(Orders[[#This Row],[Product ID]],products!$A$1:$A$49,products!$G$1:$G$49) *Orders[[#This Row],[Quantity]]</f>
        <v>15.488199999999999</v>
      </c>
    </row>
    <row r="607" spans="1:17" x14ac:dyDescent="0.25">
      <c r="A607" s="2" t="s">
        <v>3905</v>
      </c>
      <c r="B607" s="3">
        <v>44028</v>
      </c>
      <c r="C607" s="2" t="s">
        <v>3906</v>
      </c>
      <c r="D607" t="s">
        <v>6182</v>
      </c>
      <c r="E607" s="2">
        <v>5</v>
      </c>
      <c r="F607" s="2" t="str">
        <f>_xlfn.XLOOKUP(C607,customers!$A$1:$A$1001,customers!$B$1:$B$1001,,0)</f>
        <v>Wang Powlesland</v>
      </c>
      <c r="G607" s="2" t="str">
        <f>IF(_xlfn.XLOOKUP(C607,customers!$A$1:$A$1001,customers!$C$1:$C$1001, ,0)=0,"",_xlfn.XLOOKUP(C607,customers!$A$1:$A$1001,customers!$C$1:$C$1001, ,0))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c r="Q607" s="5">
        <f>_xlfn.XLOOKUP(Orders[[#This Row],[Product ID]],products!$A$1:$A$49,products!$G$1:$G$49) *Orders[[#This Row],[Quantity]]</f>
        <v>13.403249999999998</v>
      </c>
    </row>
    <row r="608" spans="1:17" x14ac:dyDescent="0.25">
      <c r="A608" s="2" t="s">
        <v>3911</v>
      </c>
      <c r="B608" s="3">
        <v>44138</v>
      </c>
      <c r="C608" s="2" t="s">
        <v>3840</v>
      </c>
      <c r="D608" t="s">
        <v>6164</v>
      </c>
      <c r="E608" s="2">
        <v>3</v>
      </c>
      <c r="F608" s="2" t="str">
        <f>_xlfn.XLOOKUP(C608,customers!$A$1:$A$1001,customers!$B$1:$B$1001,,0)</f>
        <v>Cody Verissimo</v>
      </c>
      <c r="G608" s="2" t="str">
        <f>IF(_xlfn.XLOOKUP(C608,customers!$A$1:$A$1001,customers!$C$1:$C$1001, ,0)=0,"",_xlfn.XLOOKUP(C608,customers!$A$1:$A$1001,customers!$C$1:$C$1001, ,0))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c r="Q608" s="5">
        <f>_xlfn.XLOOKUP(Orders[[#This Row],[Product ID]],products!$A$1:$A$49,products!$G$1:$G$49) *Orders[[#This Row],[Quantity]]</f>
        <v>14.217449999999999</v>
      </c>
    </row>
    <row r="609" spans="1:17"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 ,0)=0,"",_xlfn.XLOOKUP(C609,customers!$A$1:$A$1001,customers!$C$1:$C$1001, ,0))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c r="Q609" s="5">
        <f>_xlfn.XLOOKUP(Orders[[#This Row],[Product ID]],products!$A$1:$A$49,products!$G$1:$G$49) *Orders[[#This Row],[Quantity]]</f>
        <v>0.40095000000000003</v>
      </c>
    </row>
    <row r="610" spans="1:17" x14ac:dyDescent="0.25">
      <c r="A610" s="2" t="s">
        <v>3923</v>
      </c>
      <c r="B610" s="3">
        <v>44608</v>
      </c>
      <c r="C610" s="2" t="s">
        <v>3924</v>
      </c>
      <c r="D610" t="s">
        <v>6185</v>
      </c>
      <c r="E610" s="2">
        <v>2</v>
      </c>
      <c r="F610" s="2" t="str">
        <f>_xlfn.XLOOKUP(C610,customers!$A$1:$A$1001,customers!$B$1:$B$1001,,0)</f>
        <v>Billy Neiland</v>
      </c>
      <c r="G610" s="2" t="str">
        <f>IF(_xlfn.XLOOKUP(C610,customers!$A$1:$A$1001,customers!$C$1:$C$1001, ,0)=0,"",_xlfn.XLOOKUP(C610,customers!$A$1:$A$1001,customers!$C$1:$C$1001, ,0))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c r="Q610" s="5">
        <f>_xlfn.XLOOKUP(Orders[[#This Row],[Product ID]],products!$A$1:$A$49,products!$G$1:$G$49) *Orders[[#This Row],[Quantity]]</f>
        <v>6.1478999999999999</v>
      </c>
    </row>
    <row r="611" spans="1:17" x14ac:dyDescent="0.25">
      <c r="A611" s="2" t="s">
        <v>3927</v>
      </c>
      <c r="B611" s="3">
        <v>44147</v>
      </c>
      <c r="C611" s="2" t="s">
        <v>3928</v>
      </c>
      <c r="D611" t="s">
        <v>6159</v>
      </c>
      <c r="E611" s="2">
        <v>6</v>
      </c>
      <c r="F611" s="2" t="str">
        <f>_xlfn.XLOOKUP(C611,customers!$A$1:$A$1001,customers!$B$1:$B$1001,,0)</f>
        <v>Ancell Fendt</v>
      </c>
      <c r="G611" s="2" t="str">
        <f>IF(_xlfn.XLOOKUP(C611,customers!$A$1:$A$1001,customers!$C$1:$C$1001, ,0)=0,"",_xlfn.XLOOKUP(C611,customers!$A$1:$A$1001,customers!$C$1:$C$1001, ,0))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c r="Q611" s="5">
        <f>_xlfn.XLOOKUP(Orders[[#This Row],[Product ID]],products!$A$1:$A$49,products!$G$1:$G$49) *Orders[[#This Row],[Quantity]]</f>
        <v>3.4047000000000001</v>
      </c>
    </row>
    <row r="612" spans="1:17" x14ac:dyDescent="0.25">
      <c r="A612" s="2" t="s">
        <v>3933</v>
      </c>
      <c r="B612" s="3">
        <v>43743</v>
      </c>
      <c r="C612" s="2" t="s">
        <v>3934</v>
      </c>
      <c r="D612" t="s">
        <v>6138</v>
      </c>
      <c r="E612" s="2">
        <v>4</v>
      </c>
      <c r="F612" s="2" t="str">
        <f>_xlfn.XLOOKUP(C612,customers!$A$1:$A$1001,customers!$B$1:$B$1001,,0)</f>
        <v>Angelia Cleyburn</v>
      </c>
      <c r="G612" s="2" t="str">
        <f>IF(_xlfn.XLOOKUP(C612,customers!$A$1:$A$1001,customers!$C$1:$C$1001, ,0)=0,"",_xlfn.XLOOKUP(C612,customers!$A$1:$A$1001,customers!$C$1:$C$1001, ,0))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c r="Q612" s="5">
        <f>_xlfn.XLOOKUP(Orders[[#This Row],[Product ID]],products!$A$1:$A$49,products!$G$1:$G$49) *Orders[[#This Row],[Quantity]]</f>
        <v>2.3879999999999999</v>
      </c>
    </row>
    <row r="613" spans="1:17"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 ,0)=0,"",_xlfn.XLOOKUP(C613,customers!$A$1:$A$1001,customers!$C$1:$C$1001, ,0))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c r="Q613" s="5">
        <f>_xlfn.XLOOKUP(Orders[[#This Row],[Product ID]],products!$A$1:$A$49,products!$G$1:$G$49) *Orders[[#This Row],[Quantity]]</f>
        <v>7.5140999999999991</v>
      </c>
    </row>
    <row r="614" spans="1:17" x14ac:dyDescent="0.25">
      <c r="A614" s="2" t="s">
        <v>3945</v>
      </c>
      <c r="B614" s="3">
        <v>43896</v>
      </c>
      <c r="C614" s="2" t="s">
        <v>3946</v>
      </c>
      <c r="D614" t="s">
        <v>6152</v>
      </c>
      <c r="E614" s="2">
        <v>4</v>
      </c>
      <c r="F614" s="2" t="str">
        <f>_xlfn.XLOOKUP(C614,customers!$A$1:$A$1001,customers!$B$1:$B$1001,,0)</f>
        <v>Betti Lacasa</v>
      </c>
      <c r="G614" s="2" t="str">
        <f>IF(_xlfn.XLOOKUP(C614,customers!$A$1:$A$1001,customers!$C$1:$C$1001, ,0)=0,"",_xlfn.XLOOKUP(C614,customers!$A$1:$A$1001,customers!$C$1:$C$1001, ,0))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c r="Q614" s="5">
        <f>_xlfn.XLOOKUP(Orders[[#This Row],[Product ID]],products!$A$1:$A$49,products!$G$1:$G$49) *Orders[[#This Row],[Quantity]]</f>
        <v>1.2149999999999999</v>
      </c>
    </row>
    <row r="615" spans="1:17" x14ac:dyDescent="0.25">
      <c r="A615" s="2" t="s">
        <v>3950</v>
      </c>
      <c r="B615" s="3">
        <v>43761</v>
      </c>
      <c r="C615" s="2" t="s">
        <v>3951</v>
      </c>
      <c r="D615" t="s">
        <v>6146</v>
      </c>
      <c r="E615" s="2">
        <v>1</v>
      </c>
      <c r="F615" s="2" t="str">
        <f>_xlfn.XLOOKUP(C615,customers!$A$1:$A$1001,customers!$B$1:$B$1001,,0)</f>
        <v>Gunilla Lynch</v>
      </c>
      <c r="G615" s="2" t="str">
        <f>IF(_xlfn.XLOOKUP(C615,customers!$A$1:$A$1001,customers!$C$1:$C$1001, ,0)=0,"",_xlfn.XLOOKUP(C615,customers!$A$1:$A$1001,customers!$C$1:$C$1001, ,0))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c r="Q615" s="5">
        <f>_xlfn.XLOOKUP(Orders[[#This Row],[Product ID]],products!$A$1:$A$49,products!$G$1:$G$49) *Orders[[#This Row],[Quantity]]</f>
        <v>0.35819999999999996</v>
      </c>
    </row>
    <row r="616" spans="1:17" x14ac:dyDescent="0.25">
      <c r="A616" s="2" t="s">
        <v>3955</v>
      </c>
      <c r="B616" s="3">
        <v>43944</v>
      </c>
      <c r="C616" s="2" t="s">
        <v>3840</v>
      </c>
      <c r="D616" t="s">
        <v>6146</v>
      </c>
      <c r="E616" s="2">
        <v>5</v>
      </c>
      <c r="F616" s="2" t="str">
        <f>_xlfn.XLOOKUP(C616,customers!$A$1:$A$1001,customers!$B$1:$B$1001,,0)</f>
        <v>Cody Verissimo</v>
      </c>
      <c r="G616" s="2" t="str">
        <f>IF(_xlfn.XLOOKUP(C616,customers!$A$1:$A$1001,customers!$C$1:$C$1001, ,0)=0,"",_xlfn.XLOOKUP(C616,customers!$A$1:$A$1001,customers!$C$1:$C$1001, ,0))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c r="Q616" s="5">
        <f>_xlfn.XLOOKUP(Orders[[#This Row],[Product ID]],products!$A$1:$A$49,products!$G$1:$G$49) *Orders[[#This Row],[Quantity]]</f>
        <v>1.7909999999999999</v>
      </c>
    </row>
    <row r="617" spans="1:17" x14ac:dyDescent="0.25">
      <c r="A617" s="2" t="s">
        <v>3960</v>
      </c>
      <c r="B617" s="3">
        <v>44006</v>
      </c>
      <c r="C617" s="2" t="s">
        <v>3961</v>
      </c>
      <c r="D617" t="s">
        <v>6164</v>
      </c>
      <c r="E617" s="2">
        <v>2</v>
      </c>
      <c r="F617" s="2" t="str">
        <f>_xlfn.XLOOKUP(C617,customers!$A$1:$A$1001,customers!$B$1:$B$1001,,0)</f>
        <v>Shay Couronne</v>
      </c>
      <c r="G617" s="2" t="str">
        <f>IF(_xlfn.XLOOKUP(C617,customers!$A$1:$A$1001,customers!$C$1:$C$1001, ,0)=0,"",_xlfn.XLOOKUP(C617,customers!$A$1:$A$1001,customers!$C$1:$C$1001, ,0))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c r="Q617" s="5">
        <f>_xlfn.XLOOKUP(Orders[[#This Row],[Product ID]],products!$A$1:$A$49,products!$G$1:$G$49) *Orders[[#This Row],[Quantity]]</f>
        <v>9.4782999999999991</v>
      </c>
    </row>
    <row r="618" spans="1:17" x14ac:dyDescent="0.25">
      <c r="A618" s="2" t="s">
        <v>3966</v>
      </c>
      <c r="B618" s="3">
        <v>44271</v>
      </c>
      <c r="C618" s="2" t="s">
        <v>3967</v>
      </c>
      <c r="D618" t="s">
        <v>6166</v>
      </c>
      <c r="E618" s="2">
        <v>4</v>
      </c>
      <c r="F618" s="2" t="str">
        <f>_xlfn.XLOOKUP(C618,customers!$A$1:$A$1001,customers!$B$1:$B$1001,,0)</f>
        <v>Linus Flippelli</v>
      </c>
      <c r="G618" s="2" t="str">
        <f>IF(_xlfn.XLOOKUP(C618,customers!$A$1:$A$1001,customers!$C$1:$C$1001, ,0)=0,"",_xlfn.XLOOKUP(C618,customers!$A$1:$A$1001,customers!$C$1:$C$1001, ,0))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c r="Q618" s="5">
        <f>_xlfn.XLOOKUP(Orders[[#This Row],[Product ID]],products!$A$1:$A$49,products!$G$1:$G$49) *Orders[[#This Row],[Quantity]]</f>
        <v>13.914999999999999</v>
      </c>
    </row>
    <row r="619" spans="1:17"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 ,0)=0,"",_xlfn.XLOOKUP(C619,customers!$A$1:$A$1001,customers!$C$1:$C$1001, ,0))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c r="Q619" s="5">
        <f>_xlfn.XLOOKUP(Orders[[#This Row],[Product ID]],products!$A$1:$A$49,products!$G$1:$G$49) *Orders[[#This Row],[Quantity]]</f>
        <v>4.3504499999999995</v>
      </c>
    </row>
    <row r="620" spans="1:17" x14ac:dyDescent="0.25">
      <c r="A620" s="2" t="s">
        <v>3978</v>
      </c>
      <c r="B620" s="3">
        <v>44469</v>
      </c>
      <c r="C620" s="2" t="s">
        <v>3979</v>
      </c>
      <c r="D620" t="s">
        <v>6183</v>
      </c>
      <c r="E620" s="2">
        <v>6</v>
      </c>
      <c r="F620" s="2" t="str">
        <f>_xlfn.XLOOKUP(C620,customers!$A$1:$A$1001,customers!$B$1:$B$1001,,0)</f>
        <v>Innis Renhard</v>
      </c>
      <c r="G620" s="2" t="str">
        <f>IF(_xlfn.XLOOKUP(C620,customers!$A$1:$A$1001,customers!$C$1:$C$1001, ,0)=0,"",_xlfn.XLOOKUP(C620,customers!$A$1:$A$1001,customers!$C$1:$C$1001, ,0))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c r="Q620" s="5">
        <f>_xlfn.XLOOKUP(Orders[[#This Row],[Product ID]],products!$A$1:$A$49,products!$G$1:$G$49) *Orders[[#This Row],[Quantity]]</f>
        <v>8.0190000000000001</v>
      </c>
    </row>
    <row r="621" spans="1:17" x14ac:dyDescent="0.25">
      <c r="A621" s="2" t="s">
        <v>3984</v>
      </c>
      <c r="B621" s="3">
        <v>44682</v>
      </c>
      <c r="C621" s="2" t="s">
        <v>3985</v>
      </c>
      <c r="D621" t="s">
        <v>6169</v>
      </c>
      <c r="E621" s="2">
        <v>2</v>
      </c>
      <c r="F621" s="2" t="str">
        <f>_xlfn.XLOOKUP(C621,customers!$A$1:$A$1001,customers!$B$1:$B$1001,,0)</f>
        <v>Winne Roche</v>
      </c>
      <c r="G621" s="2" t="str">
        <f>IF(_xlfn.XLOOKUP(C621,customers!$A$1:$A$1001,customers!$C$1:$C$1001, ,0)=0,"",_xlfn.XLOOKUP(C621,customers!$A$1:$A$1001,customers!$C$1:$C$1001, ,0))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c r="Q621" s="5">
        <f>_xlfn.XLOOKUP(Orders[[#This Row],[Product ID]],products!$A$1:$A$49,products!$G$1:$G$49) *Orders[[#This Row],[Quantity]]</f>
        <v>2.0202</v>
      </c>
    </row>
    <row r="622" spans="1:17" x14ac:dyDescent="0.25">
      <c r="A622" s="2" t="s">
        <v>3990</v>
      </c>
      <c r="B622" s="3">
        <v>44217</v>
      </c>
      <c r="C622" s="2" t="s">
        <v>4042</v>
      </c>
      <c r="D622" t="s">
        <v>6152</v>
      </c>
      <c r="E622" s="2">
        <v>6</v>
      </c>
      <c r="F622" s="2" t="str">
        <f>_xlfn.XLOOKUP(C622,customers!$A$1:$A$1001,customers!$B$1:$B$1001,,0)</f>
        <v>Linn Alaway</v>
      </c>
      <c r="G622" s="2" t="str">
        <f>IF(_xlfn.XLOOKUP(C622,customers!$A$1:$A$1001,customers!$C$1:$C$1001, ,0)=0,"",_xlfn.XLOOKUP(C622,customers!$A$1:$A$1001,customers!$C$1:$C$1001, ,0))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c r="Q622" s="5">
        <f>_xlfn.XLOOKUP(Orders[[#This Row],[Product ID]],products!$A$1:$A$49,products!$G$1:$G$49) *Orders[[#This Row],[Quantity]]</f>
        <v>1.8224999999999998</v>
      </c>
    </row>
    <row r="623" spans="1:17" x14ac:dyDescent="0.25">
      <c r="A623" s="2" t="s">
        <v>3996</v>
      </c>
      <c r="B623" s="3">
        <v>44006</v>
      </c>
      <c r="C623" s="2" t="s">
        <v>3997</v>
      </c>
      <c r="D623" t="s">
        <v>6140</v>
      </c>
      <c r="E623" s="2">
        <v>6</v>
      </c>
      <c r="F623" s="2" t="str">
        <f>_xlfn.XLOOKUP(C623,customers!$A$1:$A$1001,customers!$B$1:$B$1001,,0)</f>
        <v>Cordy Odgaard</v>
      </c>
      <c r="G623" s="2" t="str">
        <f>IF(_xlfn.XLOOKUP(C623,customers!$A$1:$A$1001,customers!$C$1:$C$1001, ,0)=0,"",_xlfn.XLOOKUP(C623,customers!$A$1:$A$1001,customers!$C$1:$C$1001, ,0))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c r="Q623" s="5">
        <f>_xlfn.XLOOKUP(Orders[[#This Row],[Product ID]],products!$A$1:$A$49,products!$G$1:$G$49) *Orders[[#This Row],[Quantity]]</f>
        <v>6.9930000000000003</v>
      </c>
    </row>
    <row r="624" spans="1:17" x14ac:dyDescent="0.25">
      <c r="A624" s="2" t="s">
        <v>4002</v>
      </c>
      <c r="B624" s="3">
        <v>43527</v>
      </c>
      <c r="C624" s="2" t="s">
        <v>4003</v>
      </c>
      <c r="D624" t="s">
        <v>6181</v>
      </c>
      <c r="E624" s="2">
        <v>4</v>
      </c>
      <c r="F624" s="2" t="str">
        <f>_xlfn.XLOOKUP(C624,customers!$A$1:$A$1001,customers!$B$1:$B$1001,,0)</f>
        <v>Bertine Byrd</v>
      </c>
      <c r="G624" s="2" t="str">
        <f>IF(_xlfn.XLOOKUP(C624,customers!$A$1:$A$1001,customers!$C$1:$C$1001, ,0)=0,"",_xlfn.XLOOKUP(C624,customers!$A$1:$A$1001,customers!$C$1:$C$1001, ,0))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c r="Q624" s="5">
        <f>_xlfn.XLOOKUP(Orders[[#This Row],[Product ID]],products!$A$1:$A$49,products!$G$1:$G$49) *Orders[[#This Row],[Quantity]]</f>
        <v>17.401799999999998</v>
      </c>
    </row>
    <row r="625" spans="1:17" x14ac:dyDescent="0.25">
      <c r="A625" s="2" t="s">
        <v>4007</v>
      </c>
      <c r="B625" s="3">
        <v>44224</v>
      </c>
      <c r="C625" s="2" t="s">
        <v>4008</v>
      </c>
      <c r="D625" t="s">
        <v>6183</v>
      </c>
      <c r="E625" s="2">
        <v>1</v>
      </c>
      <c r="F625" s="2" t="str">
        <f>_xlfn.XLOOKUP(C625,customers!$A$1:$A$1001,customers!$B$1:$B$1001,,0)</f>
        <v>Nelie Garnson</v>
      </c>
      <c r="G625" s="2" t="str">
        <f>IF(_xlfn.XLOOKUP(C625,customers!$A$1:$A$1001,customers!$C$1:$C$1001, ,0)=0,"",_xlfn.XLOOKUP(C625,customers!$A$1:$A$1001,customers!$C$1:$C$1001, ,0))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c r="Q625" s="5">
        <f>_xlfn.XLOOKUP(Orders[[#This Row],[Product ID]],products!$A$1:$A$49,products!$G$1:$G$49) *Orders[[#This Row],[Quantity]]</f>
        <v>1.3365</v>
      </c>
    </row>
    <row r="626" spans="1:17" x14ac:dyDescent="0.25">
      <c r="A626" s="2" t="s">
        <v>4012</v>
      </c>
      <c r="B626" s="3">
        <v>44010</v>
      </c>
      <c r="C626" s="2" t="s">
        <v>4013</v>
      </c>
      <c r="D626" t="s">
        <v>6166</v>
      </c>
      <c r="E626" s="2">
        <v>2</v>
      </c>
      <c r="F626" s="2" t="str">
        <f>_xlfn.XLOOKUP(C626,customers!$A$1:$A$1001,customers!$B$1:$B$1001,,0)</f>
        <v>Dianne Chardin</v>
      </c>
      <c r="G626" s="2" t="str">
        <f>IF(_xlfn.XLOOKUP(C626,customers!$A$1:$A$1001,customers!$C$1:$C$1001, ,0)=0,"",_xlfn.XLOOKUP(C626,customers!$A$1:$A$1001,customers!$C$1:$C$1001, ,0))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c r="Q626" s="5">
        <f>_xlfn.XLOOKUP(Orders[[#This Row],[Product ID]],products!$A$1:$A$49,products!$G$1:$G$49) *Orders[[#This Row],[Quantity]]</f>
        <v>6.9574999999999996</v>
      </c>
    </row>
    <row r="627" spans="1:17" x14ac:dyDescent="0.25">
      <c r="A627" s="2" t="s">
        <v>4017</v>
      </c>
      <c r="B627" s="3">
        <v>44017</v>
      </c>
      <c r="C627" s="2" t="s">
        <v>4018</v>
      </c>
      <c r="D627" t="s">
        <v>6173</v>
      </c>
      <c r="E627" s="2">
        <v>5</v>
      </c>
      <c r="F627" s="2" t="str">
        <f>_xlfn.XLOOKUP(C627,customers!$A$1:$A$1001,customers!$B$1:$B$1001,,0)</f>
        <v>Hailee Radbone</v>
      </c>
      <c r="G627" s="2" t="str">
        <f>IF(_xlfn.XLOOKUP(C627,customers!$A$1:$A$1001,customers!$C$1:$C$1001, ,0)=0,"",_xlfn.XLOOKUP(C627,customers!$A$1:$A$1001,customers!$C$1:$C$1001, ,0))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c r="Q627" s="5">
        <f>_xlfn.XLOOKUP(Orders[[#This Row],[Product ID]],products!$A$1:$A$49,products!$G$1:$G$49) *Orders[[#This Row],[Quantity]]</f>
        <v>2.1509999999999998</v>
      </c>
    </row>
    <row r="628" spans="1:17" x14ac:dyDescent="0.25">
      <c r="A628" s="2" t="s">
        <v>4023</v>
      </c>
      <c r="B628" s="3">
        <v>43526</v>
      </c>
      <c r="C628" s="2" t="s">
        <v>4024</v>
      </c>
      <c r="D628" t="s">
        <v>6175</v>
      </c>
      <c r="E628" s="2">
        <v>3</v>
      </c>
      <c r="F628" s="2" t="str">
        <f>_xlfn.XLOOKUP(C628,customers!$A$1:$A$1001,customers!$B$1:$B$1001,,0)</f>
        <v>Wallis Bernth</v>
      </c>
      <c r="G628" s="2" t="str">
        <f>IF(_xlfn.XLOOKUP(C628,customers!$A$1:$A$1001,customers!$C$1:$C$1001, ,0)=0,"",_xlfn.XLOOKUP(C628,customers!$A$1:$A$1001,customers!$C$1:$C$1001, ,0))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c r="Q628" s="5">
        <f>_xlfn.XLOOKUP(Orders[[#This Row],[Product ID]],products!$A$1:$A$49,products!$G$1:$G$49) *Orders[[#This Row],[Quantity]]</f>
        <v>6.9862499999999983</v>
      </c>
    </row>
    <row r="629" spans="1:17" x14ac:dyDescent="0.25">
      <c r="A629" s="2" t="s">
        <v>4029</v>
      </c>
      <c r="B629" s="3">
        <v>44682</v>
      </c>
      <c r="C629" s="2" t="s">
        <v>4030</v>
      </c>
      <c r="D629" t="s">
        <v>6166</v>
      </c>
      <c r="E629" s="2">
        <v>2</v>
      </c>
      <c r="F629" s="2" t="str">
        <f>_xlfn.XLOOKUP(C629,customers!$A$1:$A$1001,customers!$B$1:$B$1001,,0)</f>
        <v>Byron Acarson</v>
      </c>
      <c r="G629" s="2" t="str">
        <f>IF(_xlfn.XLOOKUP(C629,customers!$A$1:$A$1001,customers!$C$1:$C$1001, ,0)=0,"",_xlfn.XLOOKUP(C629,customers!$A$1:$A$1001,customers!$C$1:$C$1001, ,0))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c r="Q629" s="5">
        <f>_xlfn.XLOOKUP(Orders[[#This Row],[Product ID]],products!$A$1:$A$49,products!$G$1:$G$49) *Orders[[#This Row],[Quantity]]</f>
        <v>6.9574999999999996</v>
      </c>
    </row>
    <row r="630" spans="1:17" x14ac:dyDescent="0.25">
      <c r="A630" s="2" t="s">
        <v>4035</v>
      </c>
      <c r="B630" s="3">
        <v>44680</v>
      </c>
      <c r="C630" s="2" t="s">
        <v>4036</v>
      </c>
      <c r="D630" t="s">
        <v>6184</v>
      </c>
      <c r="E630" s="2">
        <v>6</v>
      </c>
      <c r="F630" s="2" t="str">
        <f>_xlfn.XLOOKUP(C630,customers!$A$1:$A$1001,customers!$B$1:$B$1001,,0)</f>
        <v>Faunie Brigham</v>
      </c>
      <c r="G630" s="2" t="str">
        <f>IF(_xlfn.XLOOKUP(C630,customers!$A$1:$A$1001,customers!$C$1:$C$1001, ,0)=0,"",_xlfn.XLOOKUP(C630,customers!$A$1:$A$1001,customers!$C$1:$C$1001, ,0))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c r="Q630" s="5">
        <f>_xlfn.XLOOKUP(Orders[[#This Row],[Product ID]],products!$A$1:$A$49,products!$G$1:$G$49) *Orders[[#This Row],[Quantity]]</f>
        <v>2.9402999999999997</v>
      </c>
    </row>
    <row r="631" spans="1:17" x14ac:dyDescent="0.25">
      <c r="A631" s="2" t="s">
        <v>4035</v>
      </c>
      <c r="B631" s="3">
        <v>44680</v>
      </c>
      <c r="C631" s="2" t="s">
        <v>4036</v>
      </c>
      <c r="D631" t="s">
        <v>6169</v>
      </c>
      <c r="E631" s="2">
        <v>4</v>
      </c>
      <c r="F631" s="2" t="str">
        <f>_xlfn.XLOOKUP(C631,customers!$A$1:$A$1001,customers!$B$1:$B$1001,,0)</f>
        <v>Faunie Brigham</v>
      </c>
      <c r="G631" s="2" t="str">
        <f>IF(_xlfn.XLOOKUP(C631,customers!$A$1:$A$1001,customers!$C$1:$C$1001, ,0)=0,"",_xlfn.XLOOKUP(C631,customers!$A$1:$A$1001,customers!$C$1:$C$1001, ,0))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c r="Q631" s="5">
        <f>_xlfn.XLOOKUP(Orders[[#This Row],[Product ID]],products!$A$1:$A$49,products!$G$1:$G$49) *Orders[[#This Row],[Quantity]]</f>
        <v>4.0404</v>
      </c>
    </row>
    <row r="632" spans="1:17" x14ac:dyDescent="0.25">
      <c r="A632" s="2" t="s">
        <v>4035</v>
      </c>
      <c r="B632" s="3">
        <v>44680</v>
      </c>
      <c r="C632" s="2" t="s">
        <v>4036</v>
      </c>
      <c r="D632" t="s">
        <v>6154</v>
      </c>
      <c r="E632" s="2">
        <v>1</v>
      </c>
      <c r="F632" s="2" t="str">
        <f>_xlfn.XLOOKUP(C632,customers!$A$1:$A$1001,customers!$B$1:$B$1001,,0)</f>
        <v>Faunie Brigham</v>
      </c>
      <c r="G632" s="2" t="str">
        <f>IF(_xlfn.XLOOKUP(C632,customers!$A$1:$A$1001,customers!$C$1:$C$1001, ,0)=0,"",_xlfn.XLOOKUP(C632,customers!$A$1:$A$1001,customers!$C$1:$C$1001, ,0))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c r="Q632" s="5">
        <f>_xlfn.XLOOKUP(Orders[[#This Row],[Product ID]],products!$A$1:$A$49,products!$G$1:$G$49) *Orders[[#This Row],[Quantity]]</f>
        <v>0.26865</v>
      </c>
    </row>
    <row r="633" spans="1:17" x14ac:dyDescent="0.25">
      <c r="A633" s="2" t="s">
        <v>4035</v>
      </c>
      <c r="B633" s="3">
        <v>44680</v>
      </c>
      <c r="C633" s="2" t="s">
        <v>4036</v>
      </c>
      <c r="D633" t="s">
        <v>6149</v>
      </c>
      <c r="E633" s="2">
        <v>5</v>
      </c>
      <c r="F633" s="2" t="str">
        <f>_xlfn.XLOOKUP(C633,customers!$A$1:$A$1001,customers!$B$1:$B$1001,,0)</f>
        <v>Faunie Brigham</v>
      </c>
      <c r="G633" s="2" t="str">
        <f>IF(_xlfn.XLOOKUP(C633,customers!$A$1:$A$1001,customers!$C$1:$C$1001, ,0)=0,"",_xlfn.XLOOKUP(C633,customers!$A$1:$A$1001,customers!$C$1:$C$1001, ,0))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c r="Q633" s="5">
        <f>_xlfn.XLOOKUP(Orders[[#This Row],[Product ID]],products!$A$1:$A$49,products!$G$1:$G$49) *Orders[[#This Row],[Quantity]]</f>
        <v>6.1754999999999995</v>
      </c>
    </row>
    <row r="634" spans="1:17" x14ac:dyDescent="0.25">
      <c r="A634" s="2" t="s">
        <v>4056</v>
      </c>
      <c r="B634" s="3">
        <v>44049</v>
      </c>
      <c r="C634" s="2" t="s">
        <v>4057</v>
      </c>
      <c r="D634" t="s">
        <v>6176</v>
      </c>
      <c r="E634" s="2">
        <v>4</v>
      </c>
      <c r="F634" s="2" t="str">
        <f>_xlfn.XLOOKUP(C634,customers!$A$1:$A$1001,customers!$B$1:$B$1001,,0)</f>
        <v>Marjorie Yoxen</v>
      </c>
      <c r="G634" s="2" t="str">
        <f>IF(_xlfn.XLOOKUP(C634,customers!$A$1:$A$1001,customers!$C$1:$C$1001, ,0)=0,"",_xlfn.XLOOKUP(C634,customers!$A$1:$A$1001,customers!$C$1:$C$1001, ,0))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c r="Q634" s="5">
        <f>_xlfn.XLOOKUP(Orders[[#This Row],[Product ID]],products!$A$1:$A$49,products!$G$1:$G$49) *Orders[[#This Row],[Quantity]]</f>
        <v>3.9203999999999999</v>
      </c>
    </row>
    <row r="635" spans="1:17" x14ac:dyDescent="0.25">
      <c r="A635" s="2" t="s">
        <v>4062</v>
      </c>
      <c r="B635" s="3">
        <v>43820</v>
      </c>
      <c r="C635" s="2" t="s">
        <v>4063</v>
      </c>
      <c r="D635" t="s">
        <v>6179</v>
      </c>
      <c r="E635" s="2">
        <v>4</v>
      </c>
      <c r="F635" s="2" t="str">
        <f>_xlfn.XLOOKUP(C635,customers!$A$1:$A$1001,customers!$B$1:$B$1001,,0)</f>
        <v>Gaspar McGavin</v>
      </c>
      <c r="G635" s="2" t="str">
        <f>IF(_xlfn.XLOOKUP(C635,customers!$A$1:$A$1001,customers!$C$1:$C$1001, ,0)=0,"",_xlfn.XLOOKUP(C635,customers!$A$1:$A$1001,customers!$C$1:$C$1001, ,0))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c r="Q635" s="5">
        <f>_xlfn.XLOOKUP(Orders[[#This Row],[Product ID]],products!$A$1:$A$49,products!$G$1:$G$49) *Orders[[#This Row],[Quantity]]</f>
        <v>2.8679999999999999</v>
      </c>
    </row>
    <row r="636" spans="1:17" x14ac:dyDescent="0.25">
      <c r="A636" s="2" t="s">
        <v>4068</v>
      </c>
      <c r="B636" s="3">
        <v>43940</v>
      </c>
      <c r="C636" s="2" t="s">
        <v>4069</v>
      </c>
      <c r="D636" t="s">
        <v>6162</v>
      </c>
      <c r="E636" s="2">
        <v>3</v>
      </c>
      <c r="F636" s="2" t="str">
        <f>_xlfn.XLOOKUP(C636,customers!$A$1:$A$1001,customers!$B$1:$B$1001,,0)</f>
        <v>Lindy Uttermare</v>
      </c>
      <c r="G636" s="2" t="str">
        <f>IF(_xlfn.XLOOKUP(C636,customers!$A$1:$A$1001,customers!$C$1:$C$1001, ,0)=0,"",_xlfn.XLOOKUP(C636,customers!$A$1:$A$1001,customers!$C$1:$C$1001, ,0))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c r="Q636" s="5">
        <f>_xlfn.XLOOKUP(Orders[[#This Row],[Product ID]],products!$A$1:$A$49,products!$G$1:$G$49) *Orders[[#This Row],[Quantity]]</f>
        <v>5.6745000000000001</v>
      </c>
    </row>
    <row r="637" spans="1:17" x14ac:dyDescent="0.25">
      <c r="A637" s="2" t="s">
        <v>4074</v>
      </c>
      <c r="B637" s="3">
        <v>44578</v>
      </c>
      <c r="C637" s="2" t="s">
        <v>4075</v>
      </c>
      <c r="D637" t="s">
        <v>6176</v>
      </c>
      <c r="E637" s="2">
        <v>4</v>
      </c>
      <c r="F637" s="2" t="str">
        <f>_xlfn.XLOOKUP(C637,customers!$A$1:$A$1001,customers!$B$1:$B$1001,,0)</f>
        <v>Eal D'Ambrogio</v>
      </c>
      <c r="G637" s="2" t="str">
        <f>IF(_xlfn.XLOOKUP(C637,customers!$A$1:$A$1001,customers!$C$1:$C$1001, ,0)=0,"",_xlfn.XLOOKUP(C637,customers!$A$1:$A$1001,customers!$C$1:$C$1001, ,0))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c r="Q637" s="5">
        <f>_xlfn.XLOOKUP(Orders[[#This Row],[Product ID]],products!$A$1:$A$49,products!$G$1:$G$49) *Orders[[#This Row],[Quantity]]</f>
        <v>3.9203999999999999</v>
      </c>
    </row>
    <row r="638" spans="1:17"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 ,0)=0,"",_xlfn.XLOOKUP(C638,customers!$A$1:$A$1001,customers!$C$1:$C$1001, ,0))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c r="Q638" s="5">
        <f>_xlfn.XLOOKUP(Orders[[#This Row],[Product ID]],products!$A$1:$A$49,products!$G$1:$G$49) *Orders[[#This Row],[Quantity]]</f>
        <v>12.363000000000001</v>
      </c>
    </row>
    <row r="639" spans="1:17"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 ,0)=0,"",_xlfn.XLOOKUP(C639,customers!$A$1:$A$1001,customers!$C$1:$C$1001, ,0))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c r="Q639" s="5">
        <f>_xlfn.XLOOKUP(Orders[[#This Row],[Product ID]],products!$A$1:$A$49,products!$G$1:$G$49) *Orders[[#This Row],[Quantity]]</f>
        <v>3.4787499999999998</v>
      </c>
    </row>
    <row r="640" spans="1:17" x14ac:dyDescent="0.25">
      <c r="A640" s="2" t="s">
        <v>4093</v>
      </c>
      <c r="B640" s="3">
        <v>43684</v>
      </c>
      <c r="C640" s="2" t="s">
        <v>4094</v>
      </c>
      <c r="D640" t="s">
        <v>6175</v>
      </c>
      <c r="E640" s="2">
        <v>3</v>
      </c>
      <c r="F640" s="2" t="str">
        <f>_xlfn.XLOOKUP(C640,customers!$A$1:$A$1001,customers!$B$1:$B$1001,,0)</f>
        <v>Neville Piatto</v>
      </c>
      <c r="G640" s="2" t="str">
        <f>IF(_xlfn.XLOOKUP(C640,customers!$A$1:$A$1001,customers!$C$1:$C$1001, ,0)=0,"",_xlfn.XLOOKUP(C640,customers!$A$1:$A$1001,customers!$C$1:$C$1001, ,0))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c r="Q640" s="5">
        <f>_xlfn.XLOOKUP(Orders[[#This Row],[Product ID]],products!$A$1:$A$49,products!$G$1:$G$49) *Orders[[#This Row],[Quantity]]</f>
        <v>6.9862499999999983</v>
      </c>
    </row>
    <row r="641" spans="1:17" x14ac:dyDescent="0.25">
      <c r="A641" s="2" t="s">
        <v>4098</v>
      </c>
      <c r="B641" s="3">
        <v>44331</v>
      </c>
      <c r="C641" s="2" t="s">
        <v>4099</v>
      </c>
      <c r="D641" t="s">
        <v>6150</v>
      </c>
      <c r="E641" s="2">
        <v>1</v>
      </c>
      <c r="F641" s="2" t="str">
        <f>_xlfn.XLOOKUP(C641,customers!$A$1:$A$1001,customers!$B$1:$B$1001,,0)</f>
        <v>Jeno Capey</v>
      </c>
      <c r="G641" s="2" t="str">
        <f>IF(_xlfn.XLOOKUP(C641,customers!$A$1:$A$1001,customers!$C$1:$C$1001, ,0)=0,"",_xlfn.XLOOKUP(C641,customers!$A$1:$A$1001,customers!$C$1:$C$1001, ,0))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c r="Q641" s="5">
        <f>_xlfn.XLOOKUP(Orders[[#This Row],[Product ID]],products!$A$1:$A$49,products!$G$1:$G$49) *Orders[[#This Row],[Quantity]]</f>
        <v>0.50505</v>
      </c>
    </row>
    <row r="642" spans="1:17" x14ac:dyDescent="0.25">
      <c r="A642" s="2" t="s">
        <v>4104</v>
      </c>
      <c r="B642" s="3">
        <v>44547</v>
      </c>
      <c r="C642" s="2" t="s">
        <v>4152</v>
      </c>
      <c r="D642" t="s">
        <v>6142</v>
      </c>
      <c r="E642" s="2">
        <v>5</v>
      </c>
      <c r="F642" s="2" t="str">
        <f>_xlfn.XLOOKUP(C642,customers!$A$1:$A$1001,customers!$B$1:$B$1001,,0)</f>
        <v>Tuckie Mathonnet</v>
      </c>
      <c r="G642" s="2" t="str">
        <f>IF(_xlfn.XLOOKUP(C642,customers!$A$1:$A$1001,customers!$C$1:$C$1001, ,0)=0,"",_xlfn.XLOOKUP(C642,customers!$A$1:$A$1001,customers!$C$1:$C$1001, ,0))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c r="Q642" s="5">
        <f>_xlfn.XLOOKUP(Orders[[#This Row],[Product ID]],products!$A$1:$A$49,products!$G$1:$G$49) *Orders[[#This Row],[Quantity]]</f>
        <v>8.2454999999999998</v>
      </c>
    </row>
    <row r="643" spans="1:17" x14ac:dyDescent="0.25">
      <c r="A643" s="2" t="s">
        <v>4109</v>
      </c>
      <c r="B643" s="3">
        <v>44448</v>
      </c>
      <c r="C643" s="2" t="s">
        <v>4110</v>
      </c>
      <c r="D643" t="s">
        <v>6179</v>
      </c>
      <c r="E643" s="2">
        <v>3</v>
      </c>
      <c r="F643" s="2" t="str">
        <f>_xlfn.XLOOKUP(C643,customers!$A$1:$A$1001,customers!$B$1:$B$1001,,0)</f>
        <v>Yardley Basill</v>
      </c>
      <c r="G643" s="2" t="str">
        <f>IF(_xlfn.XLOOKUP(C643,customers!$A$1:$A$1001,customers!$C$1:$C$1001, ,0)=0,"",_xlfn.XLOOKUP(C643,customers!$A$1:$A$1001,customers!$C$1:$C$1001, ,0))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 = "Lib","Liberica"))))</f>
        <v>Robusta</v>
      </c>
      <c r="O643" t="str">
        <f t="shared" ref="O643:O706" si="32">IF(J643="L","Light",IF(J643="M","Medium",IF(J643="D","Dark")))</f>
        <v>Light</v>
      </c>
      <c r="P643" t="str">
        <f>_xlfn.XLOOKUP(Orders[[#This Row],[Customer ID]],customers!$A$1:$A$1001,customers!$I$1:$I$1001,,0)</f>
        <v>Yes</v>
      </c>
      <c r="Q643" s="5">
        <f>_xlfn.XLOOKUP(Orders[[#This Row],[Product ID]],products!$A$1:$A$49,products!$G$1:$G$49) *Orders[[#This Row],[Quantity]]</f>
        <v>2.1509999999999998</v>
      </c>
    </row>
    <row r="644" spans="1:17" x14ac:dyDescent="0.25">
      <c r="A644" s="2" t="s">
        <v>4115</v>
      </c>
      <c r="B644" s="3">
        <v>43880</v>
      </c>
      <c r="C644" s="2" t="s">
        <v>4116</v>
      </c>
      <c r="D644" t="s">
        <v>6156</v>
      </c>
      <c r="E644" s="2">
        <v>2</v>
      </c>
      <c r="F644" s="2" t="str">
        <f>_xlfn.XLOOKUP(C644,customers!$A$1:$A$1001,customers!$B$1:$B$1001,,0)</f>
        <v>Maggy Baistow</v>
      </c>
      <c r="G644" s="2" t="str">
        <f>IF(_xlfn.XLOOKUP(C644,customers!$A$1:$A$1001,customers!$C$1:$C$1001, ,0)=0,"",_xlfn.XLOOKUP(C644,customers!$A$1:$A$1001,customers!$C$1:$C$1001, ,0))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c r="Q644" s="5">
        <f>_xlfn.XLOOKUP(Orders[[#This Row],[Product ID]],products!$A$1:$A$49,products!$G$1:$G$49) *Orders[[#This Row],[Quantity]]</f>
        <v>0.90749999999999997</v>
      </c>
    </row>
    <row r="645" spans="1:17" x14ac:dyDescent="0.25">
      <c r="A645" s="2" t="s">
        <v>4123</v>
      </c>
      <c r="B645" s="3">
        <v>44011</v>
      </c>
      <c r="C645" s="2" t="s">
        <v>4124</v>
      </c>
      <c r="D645" t="s">
        <v>6148</v>
      </c>
      <c r="E645" s="2">
        <v>3</v>
      </c>
      <c r="F645" s="2" t="str">
        <f>_xlfn.XLOOKUP(C645,customers!$A$1:$A$1001,customers!$B$1:$B$1001,,0)</f>
        <v>Courtney Pallant</v>
      </c>
      <c r="G645" s="2" t="str">
        <f>IF(_xlfn.XLOOKUP(C645,customers!$A$1:$A$1001,customers!$C$1:$C$1001, ,0)=0,"",_xlfn.XLOOKUP(C645,customers!$A$1:$A$1001,customers!$C$1:$C$1001, ,0))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c r="Q645" s="5">
        <f>_xlfn.XLOOKUP(Orders[[#This Row],[Product ID]],products!$A$1:$A$49,products!$G$1:$G$49) *Orders[[#This Row],[Quantity]]</f>
        <v>11.271149999999999</v>
      </c>
    </row>
    <row r="646" spans="1:17" x14ac:dyDescent="0.25">
      <c r="A646" s="2" t="s">
        <v>4128</v>
      </c>
      <c r="B646" s="3">
        <v>44694</v>
      </c>
      <c r="C646" s="2" t="s">
        <v>4129</v>
      </c>
      <c r="D646" t="s">
        <v>6149</v>
      </c>
      <c r="E646" s="2">
        <v>2</v>
      </c>
      <c r="F646" s="2" t="str">
        <f>_xlfn.XLOOKUP(C646,customers!$A$1:$A$1001,customers!$B$1:$B$1001,,0)</f>
        <v>Marne Mingey</v>
      </c>
      <c r="G646" s="2" t="str">
        <f>IF(_xlfn.XLOOKUP(C646,customers!$A$1:$A$1001,customers!$C$1:$C$1001, ,0)=0,"",_xlfn.XLOOKUP(C646,customers!$A$1:$A$1001,customers!$C$1:$C$1001, ,0))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c r="Q646" s="5">
        <f>_xlfn.XLOOKUP(Orders[[#This Row],[Product ID]],products!$A$1:$A$49,products!$G$1:$G$49) *Orders[[#This Row],[Quantity]]</f>
        <v>2.4701999999999997</v>
      </c>
    </row>
    <row r="647" spans="1:17" x14ac:dyDescent="0.25">
      <c r="A647" s="2" t="s">
        <v>4133</v>
      </c>
      <c r="B647" s="3">
        <v>44106</v>
      </c>
      <c r="C647" s="2" t="s">
        <v>4134</v>
      </c>
      <c r="D647" t="s">
        <v>6168</v>
      </c>
      <c r="E647" s="2">
        <v>3</v>
      </c>
      <c r="F647" s="2" t="str">
        <f>_xlfn.XLOOKUP(C647,customers!$A$1:$A$1001,customers!$B$1:$B$1001,,0)</f>
        <v>Denny O' Ronan</v>
      </c>
      <c r="G647" s="2" t="str">
        <f>IF(_xlfn.XLOOKUP(C647,customers!$A$1:$A$1001,customers!$C$1:$C$1001, ,0)=0,"",_xlfn.XLOOKUP(C647,customers!$A$1:$A$1001,customers!$C$1:$C$1001, ,0))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c r="Q647" s="5">
        <f>_xlfn.XLOOKUP(Orders[[#This Row],[Product ID]],products!$A$1:$A$49,products!$G$1:$G$49) *Orders[[#This Row],[Quantity]]</f>
        <v>6.1789499999999986</v>
      </c>
    </row>
    <row r="648" spans="1:17" x14ac:dyDescent="0.25">
      <c r="A648" s="2" t="s">
        <v>4139</v>
      </c>
      <c r="B648" s="3">
        <v>44532</v>
      </c>
      <c r="C648" s="2" t="s">
        <v>4140</v>
      </c>
      <c r="D648" t="s">
        <v>6147</v>
      </c>
      <c r="E648" s="2">
        <v>1</v>
      </c>
      <c r="F648" s="2" t="str">
        <f>_xlfn.XLOOKUP(C648,customers!$A$1:$A$1001,customers!$B$1:$B$1001,,0)</f>
        <v>Dottie Rallin</v>
      </c>
      <c r="G648" s="2" t="str">
        <f>IF(_xlfn.XLOOKUP(C648,customers!$A$1:$A$1001,customers!$C$1:$C$1001, ,0)=0,"",_xlfn.XLOOKUP(C648,customers!$A$1:$A$1001,customers!$C$1:$C$1001, ,0))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c r="Q648" s="5">
        <f>_xlfn.XLOOKUP(Orders[[#This Row],[Product ID]],products!$A$1:$A$49,products!$G$1:$G$49) *Orders[[#This Row],[Quantity]]</f>
        <v>0.89549999999999985</v>
      </c>
    </row>
    <row r="649" spans="1:17" x14ac:dyDescent="0.25">
      <c r="A649" s="2" t="s">
        <v>4145</v>
      </c>
      <c r="B649" s="3">
        <v>44502</v>
      </c>
      <c r="C649" s="2" t="s">
        <v>4146</v>
      </c>
      <c r="D649" t="s">
        <v>6161</v>
      </c>
      <c r="E649" s="2">
        <v>3</v>
      </c>
      <c r="F649" s="2" t="str">
        <f>_xlfn.XLOOKUP(C649,customers!$A$1:$A$1001,customers!$B$1:$B$1001,,0)</f>
        <v>Ardith Chill</v>
      </c>
      <c r="G649" s="2" t="str">
        <f>IF(_xlfn.XLOOKUP(C649,customers!$A$1:$A$1001,customers!$C$1:$C$1001, ,0)=0,"",_xlfn.XLOOKUP(C649,customers!$A$1:$A$1001,customers!$C$1:$C$1001, ,0))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c r="Q649" s="5">
        <f>_xlfn.XLOOKUP(Orders[[#This Row],[Product ID]],products!$A$1:$A$49,products!$G$1:$G$49) *Orders[[#This Row],[Quantity]]</f>
        <v>3.7088999999999999</v>
      </c>
    </row>
    <row r="650" spans="1:17" x14ac:dyDescent="0.25">
      <c r="A650" s="2" t="s">
        <v>4151</v>
      </c>
      <c r="B650" s="3">
        <v>43884</v>
      </c>
      <c r="C650" s="2" t="s">
        <v>4152</v>
      </c>
      <c r="D650" t="s">
        <v>6163</v>
      </c>
      <c r="E650" s="2">
        <v>6</v>
      </c>
      <c r="F650" s="2" t="str">
        <f>_xlfn.XLOOKUP(C650,customers!$A$1:$A$1001,customers!$B$1:$B$1001,,0)</f>
        <v>Tuckie Mathonnet</v>
      </c>
      <c r="G650" s="2" t="str">
        <f>IF(_xlfn.XLOOKUP(C650,customers!$A$1:$A$1001,customers!$C$1:$C$1001, ,0)=0,"",_xlfn.XLOOKUP(C650,customers!$A$1:$A$1001,customers!$C$1:$C$1001, ,0))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c r="Q650" s="5">
        <f>_xlfn.XLOOKUP(Orders[[#This Row],[Product ID]],products!$A$1:$A$49,products!$G$1:$G$49) *Orders[[#This Row],[Quantity]]</f>
        <v>0.96659999999999979</v>
      </c>
    </row>
    <row r="651" spans="1:17" x14ac:dyDescent="0.25">
      <c r="A651" s="2" t="s">
        <v>4157</v>
      </c>
      <c r="B651" s="3">
        <v>44015</v>
      </c>
      <c r="C651" s="2" t="s">
        <v>4158</v>
      </c>
      <c r="D651" t="s">
        <v>6170</v>
      </c>
      <c r="E651" s="2">
        <v>6</v>
      </c>
      <c r="F651" s="2" t="str">
        <f>_xlfn.XLOOKUP(C651,customers!$A$1:$A$1001,customers!$B$1:$B$1001,,0)</f>
        <v>Charmane Denys</v>
      </c>
      <c r="G651" s="2" t="str">
        <f>IF(_xlfn.XLOOKUP(C651,customers!$A$1:$A$1001,customers!$C$1:$C$1001, ,0)=0,"",_xlfn.XLOOKUP(C651,customers!$A$1:$A$1001,customers!$C$1:$C$1001, ,0))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c r="Q651" s="5">
        <f>_xlfn.XLOOKUP(Orders[[#This Row],[Product ID]],products!$A$1:$A$49,products!$G$1:$G$49) *Orders[[#This Row],[Quantity]]</f>
        <v>12.363000000000001</v>
      </c>
    </row>
    <row r="652" spans="1:17" x14ac:dyDescent="0.25">
      <c r="A652" s="2" t="s">
        <v>4163</v>
      </c>
      <c r="B652" s="3">
        <v>43507</v>
      </c>
      <c r="C652" s="2" t="s">
        <v>4164</v>
      </c>
      <c r="D652" t="s">
        <v>6172</v>
      </c>
      <c r="E652" s="2">
        <v>1</v>
      </c>
      <c r="F652" s="2" t="str">
        <f>_xlfn.XLOOKUP(C652,customers!$A$1:$A$1001,customers!$B$1:$B$1001,,0)</f>
        <v>Cecily Stebbings</v>
      </c>
      <c r="G652" s="2" t="str">
        <f>IF(_xlfn.XLOOKUP(C652,customers!$A$1:$A$1001,customers!$C$1:$C$1001, ,0)=0,"",_xlfn.XLOOKUP(C652,customers!$A$1:$A$1001,customers!$C$1:$C$1001, ,0))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c r="Q652" s="5">
        <f>_xlfn.XLOOKUP(Orders[[#This Row],[Product ID]],products!$A$1:$A$49,products!$G$1:$G$49) *Orders[[#This Row],[Quantity]]</f>
        <v>0.32219999999999993</v>
      </c>
    </row>
    <row r="653" spans="1:17" x14ac:dyDescent="0.25">
      <c r="A653" s="2" t="s">
        <v>4169</v>
      </c>
      <c r="B653" s="3">
        <v>44084</v>
      </c>
      <c r="C653" s="2" t="s">
        <v>4170</v>
      </c>
      <c r="D653" t="s">
        <v>6179</v>
      </c>
      <c r="E653" s="2">
        <v>4</v>
      </c>
      <c r="F653" s="2" t="str">
        <f>_xlfn.XLOOKUP(C653,customers!$A$1:$A$1001,customers!$B$1:$B$1001,,0)</f>
        <v>Giana Tonnesen</v>
      </c>
      <c r="G653" s="2" t="str">
        <f>IF(_xlfn.XLOOKUP(C653,customers!$A$1:$A$1001,customers!$C$1:$C$1001, ,0)=0,"",_xlfn.XLOOKUP(C653,customers!$A$1:$A$1001,customers!$C$1:$C$1001, ,0))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c r="Q653" s="5">
        <f>_xlfn.XLOOKUP(Orders[[#This Row],[Product ID]],products!$A$1:$A$49,products!$G$1:$G$49) *Orders[[#This Row],[Quantity]]</f>
        <v>2.8679999999999999</v>
      </c>
    </row>
    <row r="654" spans="1:17" x14ac:dyDescent="0.25">
      <c r="A654" s="2" t="s">
        <v>4174</v>
      </c>
      <c r="B654" s="3">
        <v>43892</v>
      </c>
      <c r="C654" s="2" t="s">
        <v>4175</v>
      </c>
      <c r="D654" t="s">
        <v>6170</v>
      </c>
      <c r="E654" s="2">
        <v>4</v>
      </c>
      <c r="F654" s="2" t="str">
        <f>_xlfn.XLOOKUP(C654,customers!$A$1:$A$1001,customers!$B$1:$B$1001,,0)</f>
        <v>Rhetta Zywicki</v>
      </c>
      <c r="G654" s="2" t="str">
        <f>IF(_xlfn.XLOOKUP(C654,customers!$A$1:$A$1001,customers!$C$1:$C$1001, ,0)=0,"",_xlfn.XLOOKUP(C654,customers!$A$1:$A$1001,customers!$C$1:$C$1001, ,0))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c r="Q654" s="5">
        <f>_xlfn.XLOOKUP(Orders[[#This Row],[Product ID]],products!$A$1:$A$49,products!$G$1:$G$49) *Orders[[#This Row],[Quantity]]</f>
        <v>8.2420000000000009</v>
      </c>
    </row>
    <row r="655" spans="1:17" x14ac:dyDescent="0.25">
      <c r="A655" s="2" t="s">
        <v>4179</v>
      </c>
      <c r="B655" s="3">
        <v>44375</v>
      </c>
      <c r="C655" s="2" t="s">
        <v>4180</v>
      </c>
      <c r="D655" t="s">
        <v>6175</v>
      </c>
      <c r="E655" s="2">
        <v>4</v>
      </c>
      <c r="F655" s="2" t="str">
        <f>_xlfn.XLOOKUP(C655,customers!$A$1:$A$1001,customers!$B$1:$B$1001,,0)</f>
        <v>Almeria Burgett</v>
      </c>
      <c r="G655" s="2" t="str">
        <f>IF(_xlfn.XLOOKUP(C655,customers!$A$1:$A$1001,customers!$C$1:$C$1001, ,0)=0,"",_xlfn.XLOOKUP(C655,customers!$A$1:$A$1001,customers!$C$1:$C$1001, ,0))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c r="Q655" s="5">
        <f>_xlfn.XLOOKUP(Orders[[#This Row],[Product ID]],products!$A$1:$A$49,products!$G$1:$G$49) *Orders[[#This Row],[Quantity]]</f>
        <v>9.3149999999999977</v>
      </c>
    </row>
    <row r="656" spans="1:17" x14ac:dyDescent="0.25">
      <c r="A656" s="2" t="s">
        <v>4185</v>
      </c>
      <c r="B656" s="3">
        <v>43476</v>
      </c>
      <c r="C656" s="2" t="s">
        <v>4186</v>
      </c>
      <c r="D656" t="s">
        <v>6168</v>
      </c>
      <c r="E656" s="2">
        <v>3</v>
      </c>
      <c r="F656" s="2" t="str">
        <f>_xlfn.XLOOKUP(C656,customers!$A$1:$A$1001,customers!$B$1:$B$1001,,0)</f>
        <v>Marvin Malloy</v>
      </c>
      <c r="G656" s="2" t="str">
        <f>IF(_xlfn.XLOOKUP(C656,customers!$A$1:$A$1001,customers!$C$1:$C$1001, ,0)=0,"",_xlfn.XLOOKUP(C656,customers!$A$1:$A$1001,customers!$C$1:$C$1001, ,0))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c r="Q656" s="5">
        <f>_xlfn.XLOOKUP(Orders[[#This Row],[Product ID]],products!$A$1:$A$49,products!$G$1:$G$49) *Orders[[#This Row],[Quantity]]</f>
        <v>6.1789499999999986</v>
      </c>
    </row>
    <row r="657" spans="1:17" x14ac:dyDescent="0.25">
      <c r="A657" s="2" t="s">
        <v>4191</v>
      </c>
      <c r="B657" s="3">
        <v>43728</v>
      </c>
      <c r="C657" s="2" t="s">
        <v>4192</v>
      </c>
      <c r="D657" t="s">
        <v>6151</v>
      </c>
      <c r="E657" s="2">
        <v>2</v>
      </c>
      <c r="F657" s="2" t="str">
        <f>_xlfn.XLOOKUP(C657,customers!$A$1:$A$1001,customers!$B$1:$B$1001,,0)</f>
        <v>Maxim McParland</v>
      </c>
      <c r="G657" s="2" t="str">
        <f>IF(_xlfn.XLOOKUP(C657,customers!$A$1:$A$1001,customers!$C$1:$C$1001, ,0)=0,"",_xlfn.XLOOKUP(C657,customers!$A$1:$A$1001,customers!$C$1:$C$1001, ,0))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c r="Q657" s="5">
        <f>_xlfn.XLOOKUP(Orders[[#This Row],[Product ID]],products!$A$1:$A$49,products!$G$1:$G$49) *Orders[[#This Row],[Quantity]]</f>
        <v>2.7461999999999995</v>
      </c>
    </row>
    <row r="658" spans="1:17" x14ac:dyDescent="0.25">
      <c r="A658" s="2" t="s">
        <v>4196</v>
      </c>
      <c r="B658" s="3">
        <v>44485</v>
      </c>
      <c r="C658" s="2" t="s">
        <v>4197</v>
      </c>
      <c r="D658" t="s">
        <v>6143</v>
      </c>
      <c r="E658" s="2">
        <v>4</v>
      </c>
      <c r="F658" s="2" t="str">
        <f>_xlfn.XLOOKUP(C658,customers!$A$1:$A$1001,customers!$B$1:$B$1001,,0)</f>
        <v>Sylas Jennaroy</v>
      </c>
      <c r="G658" s="2" t="str">
        <f>IF(_xlfn.XLOOKUP(C658,customers!$A$1:$A$1001,customers!$C$1:$C$1001, ,0)=0,"",_xlfn.XLOOKUP(C658,customers!$A$1:$A$1001,customers!$C$1:$C$1001, ,0))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c r="Q658" s="5">
        <f>_xlfn.XLOOKUP(Orders[[#This Row],[Product ID]],products!$A$1:$A$49,products!$G$1:$G$49) *Orders[[#This Row],[Quantity]]</f>
        <v>6.734</v>
      </c>
    </row>
    <row r="659" spans="1:17" x14ac:dyDescent="0.25">
      <c r="A659" s="2" t="s">
        <v>4201</v>
      </c>
      <c r="B659" s="3">
        <v>43831</v>
      </c>
      <c r="C659" s="2" t="s">
        <v>4202</v>
      </c>
      <c r="D659" t="s">
        <v>6157</v>
      </c>
      <c r="E659" s="2">
        <v>2</v>
      </c>
      <c r="F659" s="2" t="str">
        <f>_xlfn.XLOOKUP(C659,customers!$A$1:$A$1001,customers!$B$1:$B$1001,,0)</f>
        <v>Wren Place</v>
      </c>
      <c r="G659" s="2" t="str">
        <f>IF(_xlfn.XLOOKUP(C659,customers!$A$1:$A$1001,customers!$C$1:$C$1001, ,0)=0,"",_xlfn.XLOOKUP(C659,customers!$A$1:$A$1001,customers!$C$1:$C$1001, ,0))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c r="Q659" s="5">
        <f>_xlfn.XLOOKUP(Orders[[#This Row],[Product ID]],products!$A$1:$A$49,products!$G$1:$G$49) *Orders[[#This Row],[Quantity]]</f>
        <v>1.2149999999999999</v>
      </c>
    </row>
    <row r="660" spans="1:17" x14ac:dyDescent="0.25">
      <c r="A660" s="2" t="s">
        <v>4207</v>
      </c>
      <c r="B660" s="3">
        <v>44630</v>
      </c>
      <c r="C660" s="2" t="s">
        <v>4263</v>
      </c>
      <c r="D660" t="s">
        <v>6139</v>
      </c>
      <c r="E660" s="2">
        <v>3</v>
      </c>
      <c r="F660" s="2" t="str">
        <f>_xlfn.XLOOKUP(C660,customers!$A$1:$A$1001,customers!$B$1:$B$1001,,0)</f>
        <v>Janella Millett</v>
      </c>
      <c r="G660" s="2" t="str">
        <f>IF(_xlfn.XLOOKUP(C660,customers!$A$1:$A$1001,customers!$C$1:$C$1001, ,0)=0,"",_xlfn.XLOOKUP(C660,customers!$A$1:$A$1001,customers!$C$1:$C$1001, ,0))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c r="Q660" s="5">
        <f>_xlfn.XLOOKUP(Orders[[#This Row],[Product ID]],products!$A$1:$A$49,products!$G$1:$G$49) *Orders[[#This Row],[Quantity]]</f>
        <v>2.7225000000000001</v>
      </c>
    </row>
    <row r="661" spans="1:17" x14ac:dyDescent="0.25">
      <c r="A661" s="2" t="s">
        <v>4211</v>
      </c>
      <c r="B661" s="3">
        <v>44693</v>
      </c>
      <c r="C661" s="2" t="s">
        <v>4212</v>
      </c>
      <c r="D661" t="s">
        <v>6168</v>
      </c>
      <c r="E661" s="2">
        <v>2</v>
      </c>
      <c r="F661" s="2" t="str">
        <f>_xlfn.XLOOKUP(C661,customers!$A$1:$A$1001,customers!$B$1:$B$1001,,0)</f>
        <v>Dollie Gadsden</v>
      </c>
      <c r="G661" s="2" t="str">
        <f>IF(_xlfn.XLOOKUP(C661,customers!$A$1:$A$1001,customers!$C$1:$C$1001, ,0)=0,"",_xlfn.XLOOKUP(C661,customers!$A$1:$A$1001,customers!$C$1:$C$1001, ,0))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c r="Q661" s="5">
        <f>_xlfn.XLOOKUP(Orders[[#This Row],[Product ID]],products!$A$1:$A$49,products!$G$1:$G$49) *Orders[[#This Row],[Quantity]]</f>
        <v>4.1192999999999991</v>
      </c>
    </row>
    <row r="662" spans="1:17" x14ac:dyDescent="0.25">
      <c r="A662" s="2" t="s">
        <v>4217</v>
      </c>
      <c r="B662" s="3">
        <v>44084</v>
      </c>
      <c r="C662" s="2" t="s">
        <v>4218</v>
      </c>
      <c r="D662" t="s">
        <v>6176</v>
      </c>
      <c r="E662" s="2">
        <v>6</v>
      </c>
      <c r="F662" s="2" t="str">
        <f>_xlfn.XLOOKUP(C662,customers!$A$1:$A$1001,customers!$B$1:$B$1001,,0)</f>
        <v>Val Wakelin</v>
      </c>
      <c r="G662" s="2" t="str">
        <f>IF(_xlfn.XLOOKUP(C662,customers!$A$1:$A$1001,customers!$C$1:$C$1001, ,0)=0,"",_xlfn.XLOOKUP(C662,customers!$A$1:$A$1001,customers!$C$1:$C$1001, ,0))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c r="Q662" s="5">
        <f>_xlfn.XLOOKUP(Orders[[#This Row],[Product ID]],products!$A$1:$A$49,products!$G$1:$G$49) *Orders[[#This Row],[Quantity]]</f>
        <v>5.8805999999999994</v>
      </c>
    </row>
    <row r="663" spans="1:17" x14ac:dyDescent="0.25">
      <c r="A663" s="2" t="s">
        <v>4223</v>
      </c>
      <c r="B663" s="3">
        <v>44485</v>
      </c>
      <c r="C663" s="2" t="s">
        <v>4224</v>
      </c>
      <c r="D663" t="s">
        <v>6152</v>
      </c>
      <c r="E663" s="2">
        <v>6</v>
      </c>
      <c r="F663" s="2" t="str">
        <f>_xlfn.XLOOKUP(C663,customers!$A$1:$A$1001,customers!$B$1:$B$1001,,0)</f>
        <v>Annie Campsall</v>
      </c>
      <c r="G663" s="2" t="str">
        <f>IF(_xlfn.XLOOKUP(C663,customers!$A$1:$A$1001,customers!$C$1:$C$1001, ,0)=0,"",_xlfn.XLOOKUP(C663,customers!$A$1:$A$1001,customers!$C$1:$C$1001, ,0))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c r="Q663" s="5">
        <f>_xlfn.XLOOKUP(Orders[[#This Row],[Product ID]],products!$A$1:$A$49,products!$G$1:$G$49) *Orders[[#This Row],[Quantity]]</f>
        <v>1.8224999999999998</v>
      </c>
    </row>
    <row r="664" spans="1:17" x14ac:dyDescent="0.25">
      <c r="A664" s="2" t="s">
        <v>4229</v>
      </c>
      <c r="B664" s="3">
        <v>44364</v>
      </c>
      <c r="C664" s="2" t="s">
        <v>4230</v>
      </c>
      <c r="D664" t="s">
        <v>6165</v>
      </c>
      <c r="E664" s="2">
        <v>5</v>
      </c>
      <c r="F664" s="2" t="str">
        <f>_xlfn.XLOOKUP(C664,customers!$A$1:$A$1001,customers!$B$1:$B$1001,,0)</f>
        <v>Shermy Moseby</v>
      </c>
      <c r="G664" s="2" t="str">
        <f>IF(_xlfn.XLOOKUP(C664,customers!$A$1:$A$1001,customers!$C$1:$C$1001, ,0)=0,"",_xlfn.XLOOKUP(C664,customers!$A$1:$A$1001,customers!$C$1:$C$1001, ,0))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c r="Q664" s="5">
        <f>_xlfn.XLOOKUP(Orders[[#This Row],[Product ID]],products!$A$1:$A$49,products!$G$1:$G$49) *Orders[[#This Row],[Quantity]]</f>
        <v>19.360250000000001</v>
      </c>
    </row>
    <row r="665" spans="1:17" x14ac:dyDescent="0.25">
      <c r="A665" s="2" t="s">
        <v>4234</v>
      </c>
      <c r="B665" s="3">
        <v>43554</v>
      </c>
      <c r="C665" s="2" t="s">
        <v>4235</v>
      </c>
      <c r="D665" t="s">
        <v>6155</v>
      </c>
      <c r="E665" s="2">
        <v>6</v>
      </c>
      <c r="F665" s="2" t="str">
        <f>_xlfn.XLOOKUP(C665,customers!$A$1:$A$1001,customers!$B$1:$B$1001,,0)</f>
        <v>Corrie Wass</v>
      </c>
      <c r="G665" s="2" t="str">
        <f>IF(_xlfn.XLOOKUP(C665,customers!$A$1:$A$1001,customers!$C$1:$C$1001, ,0)=0,"",_xlfn.XLOOKUP(C665,customers!$A$1:$A$1001,customers!$C$1:$C$1001, ,0))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c r="Q665" s="5">
        <f>_xlfn.XLOOKUP(Orders[[#This Row],[Product ID]],products!$A$1:$A$49,products!$G$1:$G$49) *Orders[[#This Row],[Quantity]]</f>
        <v>6.0749999999999993</v>
      </c>
    </row>
    <row r="666" spans="1:17" x14ac:dyDescent="0.25">
      <c r="A666" s="2" t="s">
        <v>4239</v>
      </c>
      <c r="B666" s="3">
        <v>44549</v>
      </c>
      <c r="C666" s="2" t="s">
        <v>4240</v>
      </c>
      <c r="D666" t="s">
        <v>6183</v>
      </c>
      <c r="E666" s="2">
        <v>6</v>
      </c>
      <c r="F666" s="2" t="str">
        <f>_xlfn.XLOOKUP(C666,customers!$A$1:$A$1001,customers!$B$1:$B$1001,,0)</f>
        <v>Ira Sjostrom</v>
      </c>
      <c r="G666" s="2" t="str">
        <f>IF(_xlfn.XLOOKUP(C666,customers!$A$1:$A$1001,customers!$C$1:$C$1001, ,0)=0,"",_xlfn.XLOOKUP(C666,customers!$A$1:$A$1001,customers!$C$1:$C$1001, ,0))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c r="Q666" s="5">
        <f>_xlfn.XLOOKUP(Orders[[#This Row],[Product ID]],products!$A$1:$A$49,products!$G$1:$G$49) *Orders[[#This Row],[Quantity]]</f>
        <v>8.0190000000000001</v>
      </c>
    </row>
    <row r="667" spans="1:17" x14ac:dyDescent="0.25">
      <c r="A667" s="2" t="s">
        <v>4239</v>
      </c>
      <c r="B667" s="3">
        <v>44549</v>
      </c>
      <c r="C667" s="2" t="s">
        <v>4240</v>
      </c>
      <c r="D667" t="s">
        <v>6150</v>
      </c>
      <c r="E667" s="2">
        <v>2</v>
      </c>
      <c r="F667" s="2" t="str">
        <f>_xlfn.XLOOKUP(C667,customers!$A$1:$A$1001,customers!$B$1:$B$1001,,0)</f>
        <v>Ira Sjostrom</v>
      </c>
      <c r="G667" s="2" t="str">
        <f>IF(_xlfn.XLOOKUP(C667,customers!$A$1:$A$1001,customers!$C$1:$C$1001, ,0)=0,"",_xlfn.XLOOKUP(C667,customers!$A$1:$A$1001,customers!$C$1:$C$1001, ,0))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c r="Q667" s="5">
        <f>_xlfn.XLOOKUP(Orders[[#This Row],[Product ID]],products!$A$1:$A$49,products!$G$1:$G$49) *Orders[[#This Row],[Quantity]]</f>
        <v>1.0101</v>
      </c>
    </row>
    <row r="668" spans="1:17"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 ,0)=0,"",_xlfn.XLOOKUP(C668,customers!$A$1:$A$1001,customers!$C$1:$C$1001, ,0))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c r="Q668" s="5">
        <f>_xlfn.XLOOKUP(Orders[[#This Row],[Product ID]],products!$A$1:$A$49,products!$G$1:$G$49) *Orders[[#This Row],[Quantity]]</f>
        <v>8.2385999999999981</v>
      </c>
    </row>
    <row r="669" spans="1:17" x14ac:dyDescent="0.25">
      <c r="A669" s="2" t="s">
        <v>4256</v>
      </c>
      <c r="B669" s="3">
        <v>44451</v>
      </c>
      <c r="C669" s="2" t="s">
        <v>4257</v>
      </c>
      <c r="D669" t="s">
        <v>6147</v>
      </c>
      <c r="E669" s="2">
        <v>6</v>
      </c>
      <c r="F669" s="2" t="str">
        <f>_xlfn.XLOOKUP(C669,customers!$A$1:$A$1001,customers!$B$1:$B$1001,,0)</f>
        <v>Nissie Rudland</v>
      </c>
      <c r="G669" s="2" t="str">
        <f>IF(_xlfn.XLOOKUP(C669,customers!$A$1:$A$1001,customers!$C$1:$C$1001, ,0)=0,"",_xlfn.XLOOKUP(C669,customers!$A$1:$A$1001,customers!$C$1:$C$1001, ,0))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c r="Q669" s="5">
        <f>_xlfn.XLOOKUP(Orders[[#This Row],[Product ID]],products!$A$1:$A$49,products!$G$1:$G$49) *Orders[[#This Row],[Quantity]]</f>
        <v>5.3729999999999993</v>
      </c>
    </row>
    <row r="670" spans="1:17" x14ac:dyDescent="0.25">
      <c r="A670" s="2" t="s">
        <v>4262</v>
      </c>
      <c r="B670" s="3">
        <v>44636</v>
      </c>
      <c r="C670" s="2" t="s">
        <v>4263</v>
      </c>
      <c r="D670" t="s">
        <v>6142</v>
      </c>
      <c r="E670" s="2">
        <v>5</v>
      </c>
      <c r="F670" s="2" t="str">
        <f>_xlfn.XLOOKUP(C670,customers!$A$1:$A$1001,customers!$B$1:$B$1001,,0)</f>
        <v>Janella Millett</v>
      </c>
      <c r="G670" s="2" t="str">
        <f>IF(_xlfn.XLOOKUP(C670,customers!$A$1:$A$1001,customers!$C$1:$C$1001, ,0)=0,"",_xlfn.XLOOKUP(C670,customers!$A$1:$A$1001,customers!$C$1:$C$1001, ,0))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c r="Q670" s="5">
        <f>_xlfn.XLOOKUP(Orders[[#This Row],[Product ID]],products!$A$1:$A$49,products!$G$1:$G$49) *Orders[[#This Row],[Quantity]]</f>
        <v>8.2454999999999998</v>
      </c>
    </row>
    <row r="671" spans="1:17" x14ac:dyDescent="0.25">
      <c r="A671" s="2" t="s">
        <v>4268</v>
      </c>
      <c r="B671" s="3">
        <v>44551</v>
      </c>
      <c r="C671" s="2" t="s">
        <v>4269</v>
      </c>
      <c r="D671" t="s">
        <v>6181</v>
      </c>
      <c r="E671" s="2">
        <v>2</v>
      </c>
      <c r="F671" s="2" t="str">
        <f>_xlfn.XLOOKUP(C671,customers!$A$1:$A$1001,customers!$B$1:$B$1001,,0)</f>
        <v>Ferdie Tourry</v>
      </c>
      <c r="G671" s="2" t="str">
        <f>IF(_xlfn.XLOOKUP(C671,customers!$A$1:$A$1001,customers!$C$1:$C$1001, ,0)=0,"",_xlfn.XLOOKUP(C671,customers!$A$1:$A$1001,customers!$C$1:$C$1001, ,0))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c r="Q671" s="5">
        <f>_xlfn.XLOOKUP(Orders[[#This Row],[Product ID]],products!$A$1:$A$49,products!$G$1:$G$49) *Orders[[#This Row],[Quantity]]</f>
        <v>8.700899999999999</v>
      </c>
    </row>
    <row r="672" spans="1:17" x14ac:dyDescent="0.25">
      <c r="A672" s="2" t="s">
        <v>4274</v>
      </c>
      <c r="B672" s="3">
        <v>43606</v>
      </c>
      <c r="C672" s="2" t="s">
        <v>4275</v>
      </c>
      <c r="D672" t="s">
        <v>6159</v>
      </c>
      <c r="E672" s="2">
        <v>3</v>
      </c>
      <c r="F672" s="2" t="str">
        <f>_xlfn.XLOOKUP(C672,customers!$A$1:$A$1001,customers!$B$1:$B$1001,,0)</f>
        <v>Cecil Weatherall</v>
      </c>
      <c r="G672" s="2" t="str">
        <f>IF(_xlfn.XLOOKUP(C672,customers!$A$1:$A$1001,customers!$C$1:$C$1001, ,0)=0,"",_xlfn.XLOOKUP(C672,customers!$A$1:$A$1001,customers!$C$1:$C$1001, ,0))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c r="Q672" s="5">
        <f>_xlfn.XLOOKUP(Orders[[#This Row],[Product ID]],products!$A$1:$A$49,products!$G$1:$G$49) *Orders[[#This Row],[Quantity]]</f>
        <v>1.70235</v>
      </c>
    </row>
    <row r="673" spans="1:17" x14ac:dyDescent="0.25">
      <c r="A673" s="2" t="s">
        <v>4280</v>
      </c>
      <c r="B673" s="3">
        <v>44495</v>
      </c>
      <c r="C673" s="2" t="s">
        <v>4281</v>
      </c>
      <c r="D673" t="s">
        <v>6179</v>
      </c>
      <c r="E673" s="2">
        <v>5</v>
      </c>
      <c r="F673" s="2" t="str">
        <f>_xlfn.XLOOKUP(C673,customers!$A$1:$A$1001,customers!$B$1:$B$1001,,0)</f>
        <v>Gale Heindrick</v>
      </c>
      <c r="G673" s="2" t="str">
        <f>IF(_xlfn.XLOOKUP(C673,customers!$A$1:$A$1001,customers!$C$1:$C$1001, ,0)=0,"",_xlfn.XLOOKUP(C673,customers!$A$1:$A$1001,customers!$C$1:$C$1001, ,0))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c r="Q673" s="5">
        <f>_xlfn.XLOOKUP(Orders[[#This Row],[Product ID]],products!$A$1:$A$49,products!$G$1:$G$49) *Orders[[#This Row],[Quantity]]</f>
        <v>3.585</v>
      </c>
    </row>
    <row r="674" spans="1:17" x14ac:dyDescent="0.25">
      <c r="A674" s="2" t="s">
        <v>4286</v>
      </c>
      <c r="B674" s="3">
        <v>43916</v>
      </c>
      <c r="C674" s="2" t="s">
        <v>4287</v>
      </c>
      <c r="D674" t="s">
        <v>6160</v>
      </c>
      <c r="E674" s="2">
        <v>5</v>
      </c>
      <c r="F674" s="2" t="str">
        <f>_xlfn.XLOOKUP(C674,customers!$A$1:$A$1001,customers!$B$1:$B$1001,,0)</f>
        <v>Layne Imason</v>
      </c>
      <c r="G674" s="2" t="str">
        <f>IF(_xlfn.XLOOKUP(C674,customers!$A$1:$A$1001,customers!$C$1:$C$1001, ,0)=0,"",_xlfn.XLOOKUP(C674,customers!$A$1:$A$1001,customers!$C$1:$C$1001, ,0))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c r="Q674" s="5">
        <f>_xlfn.XLOOKUP(Orders[[#This Row],[Product ID]],products!$A$1:$A$49,products!$G$1:$G$49) *Orders[[#This Row],[Quantity]]</f>
        <v>5.6745000000000001</v>
      </c>
    </row>
    <row r="675" spans="1:17" x14ac:dyDescent="0.25">
      <c r="A675" s="2" t="s">
        <v>4291</v>
      </c>
      <c r="B675" s="3">
        <v>44118</v>
      </c>
      <c r="C675" s="2" t="s">
        <v>4292</v>
      </c>
      <c r="D675" t="s">
        <v>6141</v>
      </c>
      <c r="E675" s="2">
        <v>6</v>
      </c>
      <c r="F675" s="2" t="str">
        <f>_xlfn.XLOOKUP(C675,customers!$A$1:$A$1001,customers!$B$1:$B$1001,,0)</f>
        <v>Hazel Saill</v>
      </c>
      <c r="G675" s="2" t="str">
        <f>IF(_xlfn.XLOOKUP(C675,customers!$A$1:$A$1001,customers!$C$1:$C$1001, ,0)=0,"",_xlfn.XLOOKUP(C675,customers!$A$1:$A$1001,customers!$C$1:$C$1001, ,0))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c r="Q675" s="5">
        <f>_xlfn.XLOOKUP(Orders[[#This Row],[Product ID]],products!$A$1:$A$49,products!$G$1:$G$49) *Orders[[#This Row],[Quantity]]</f>
        <v>9.0749999999999993</v>
      </c>
    </row>
    <row r="676" spans="1:17" x14ac:dyDescent="0.25">
      <c r="A676" s="2" t="s">
        <v>4297</v>
      </c>
      <c r="B676" s="3">
        <v>44543</v>
      </c>
      <c r="C676" s="2" t="s">
        <v>4298</v>
      </c>
      <c r="D676" t="s">
        <v>6182</v>
      </c>
      <c r="E676" s="2">
        <v>6</v>
      </c>
      <c r="F676" s="2" t="str">
        <f>_xlfn.XLOOKUP(C676,customers!$A$1:$A$1001,customers!$B$1:$B$1001,,0)</f>
        <v>Hermann Larvor</v>
      </c>
      <c r="G676" s="2" t="str">
        <f>IF(_xlfn.XLOOKUP(C676,customers!$A$1:$A$1001,customers!$C$1:$C$1001, ,0)=0,"",_xlfn.XLOOKUP(C676,customers!$A$1:$A$1001,customers!$C$1:$C$1001, ,0))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c r="Q676" s="5">
        <f>_xlfn.XLOOKUP(Orders[[#This Row],[Product ID]],products!$A$1:$A$49,products!$G$1:$G$49) *Orders[[#This Row],[Quantity]]</f>
        <v>16.083899999999996</v>
      </c>
    </row>
    <row r="677" spans="1:17" x14ac:dyDescent="0.25">
      <c r="A677" s="2" t="s">
        <v>4303</v>
      </c>
      <c r="B677" s="3">
        <v>44263</v>
      </c>
      <c r="C677" s="2" t="s">
        <v>4304</v>
      </c>
      <c r="D677" t="s">
        <v>6165</v>
      </c>
      <c r="E677" s="2">
        <v>4</v>
      </c>
      <c r="F677" s="2" t="str">
        <f>_xlfn.XLOOKUP(C677,customers!$A$1:$A$1001,customers!$B$1:$B$1001,,0)</f>
        <v>Terri Lyford</v>
      </c>
      <c r="G677" s="2" t="str">
        <f>IF(_xlfn.XLOOKUP(C677,customers!$A$1:$A$1001,customers!$C$1:$C$1001, ,0)=0,"",_xlfn.XLOOKUP(C677,customers!$A$1:$A$1001,customers!$C$1:$C$1001, ,0))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c r="Q677" s="5">
        <f>_xlfn.XLOOKUP(Orders[[#This Row],[Product ID]],products!$A$1:$A$49,products!$G$1:$G$49) *Orders[[#This Row],[Quantity]]</f>
        <v>15.488199999999999</v>
      </c>
    </row>
    <row r="678" spans="1:17" x14ac:dyDescent="0.25">
      <c r="A678" s="2" t="s">
        <v>4308</v>
      </c>
      <c r="B678" s="3">
        <v>44217</v>
      </c>
      <c r="C678" s="2" t="s">
        <v>4309</v>
      </c>
      <c r="D678" t="s">
        <v>6161</v>
      </c>
      <c r="E678" s="2">
        <v>5</v>
      </c>
      <c r="F678" s="2" t="str">
        <f>_xlfn.XLOOKUP(C678,customers!$A$1:$A$1001,customers!$B$1:$B$1001,,0)</f>
        <v>Gabey Cogan</v>
      </c>
      <c r="G678" s="2" t="str">
        <f>IF(_xlfn.XLOOKUP(C678,customers!$A$1:$A$1001,customers!$C$1:$C$1001, ,0)=0,"",_xlfn.XLOOKUP(C678,customers!$A$1:$A$1001,customers!$C$1:$C$1001, ,0))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c r="Q678" s="5">
        <f>_xlfn.XLOOKUP(Orders[[#This Row],[Product ID]],products!$A$1:$A$49,products!$G$1:$G$49) *Orders[[#This Row],[Quantity]]</f>
        <v>6.1814999999999998</v>
      </c>
    </row>
    <row r="679" spans="1:17" x14ac:dyDescent="0.25">
      <c r="A679" s="2" t="s">
        <v>4313</v>
      </c>
      <c r="B679" s="3">
        <v>44206</v>
      </c>
      <c r="C679" s="2" t="s">
        <v>4314</v>
      </c>
      <c r="D679" t="s">
        <v>6160</v>
      </c>
      <c r="E679" s="2">
        <v>5</v>
      </c>
      <c r="F679" s="2" t="str">
        <f>_xlfn.XLOOKUP(C679,customers!$A$1:$A$1001,customers!$B$1:$B$1001,,0)</f>
        <v>Charin Penwarden</v>
      </c>
      <c r="G679" s="2" t="str">
        <f>IF(_xlfn.XLOOKUP(C679,customers!$A$1:$A$1001,customers!$C$1:$C$1001, ,0)=0,"",_xlfn.XLOOKUP(C679,customers!$A$1:$A$1001,customers!$C$1:$C$1001, ,0))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c r="Q679" s="5">
        <f>_xlfn.XLOOKUP(Orders[[#This Row],[Product ID]],products!$A$1:$A$49,products!$G$1:$G$49) *Orders[[#This Row],[Quantity]]</f>
        <v>5.6745000000000001</v>
      </c>
    </row>
    <row r="680" spans="1:17" x14ac:dyDescent="0.25">
      <c r="A680" s="2" t="s">
        <v>4319</v>
      </c>
      <c r="B680" s="3">
        <v>44281</v>
      </c>
      <c r="C680" s="2" t="s">
        <v>4320</v>
      </c>
      <c r="D680" t="s">
        <v>6182</v>
      </c>
      <c r="E680" s="2">
        <v>6</v>
      </c>
      <c r="F680" s="2" t="str">
        <f>_xlfn.XLOOKUP(C680,customers!$A$1:$A$1001,customers!$B$1:$B$1001,,0)</f>
        <v>Milty Middis</v>
      </c>
      <c r="G680" s="2" t="str">
        <f>IF(_xlfn.XLOOKUP(C680,customers!$A$1:$A$1001,customers!$C$1:$C$1001, ,0)=0,"",_xlfn.XLOOKUP(C680,customers!$A$1:$A$1001,customers!$C$1:$C$1001, ,0))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c r="Q680" s="5">
        <f>_xlfn.XLOOKUP(Orders[[#This Row],[Product ID]],products!$A$1:$A$49,products!$G$1:$G$49) *Orders[[#This Row],[Quantity]]</f>
        <v>16.083899999999996</v>
      </c>
    </row>
    <row r="681" spans="1:17" x14ac:dyDescent="0.25">
      <c r="A681" s="2" t="s">
        <v>4325</v>
      </c>
      <c r="B681" s="3">
        <v>44645</v>
      </c>
      <c r="C681" s="2" t="s">
        <v>4326</v>
      </c>
      <c r="D681" t="s">
        <v>6142</v>
      </c>
      <c r="E681" s="2">
        <v>1</v>
      </c>
      <c r="F681" s="2" t="str">
        <f>_xlfn.XLOOKUP(C681,customers!$A$1:$A$1001,customers!$B$1:$B$1001,,0)</f>
        <v>Adrianne Vairow</v>
      </c>
      <c r="G681" s="2" t="str">
        <f>IF(_xlfn.XLOOKUP(C681,customers!$A$1:$A$1001,customers!$C$1:$C$1001, ,0)=0,"",_xlfn.XLOOKUP(C681,customers!$A$1:$A$1001,customers!$C$1:$C$1001, ,0))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c r="Q681" s="5">
        <f>_xlfn.XLOOKUP(Orders[[#This Row],[Product ID]],products!$A$1:$A$49,products!$G$1:$G$49) *Orders[[#This Row],[Quantity]]</f>
        <v>1.6490999999999998</v>
      </c>
    </row>
    <row r="682" spans="1:17" x14ac:dyDescent="0.25">
      <c r="A682" s="2" t="s">
        <v>4331</v>
      </c>
      <c r="B682" s="3">
        <v>44399</v>
      </c>
      <c r="C682" s="2" t="s">
        <v>4332</v>
      </c>
      <c r="D682" t="s">
        <v>6155</v>
      </c>
      <c r="E682" s="2">
        <v>5</v>
      </c>
      <c r="F682" s="2" t="str">
        <f>_xlfn.XLOOKUP(C682,customers!$A$1:$A$1001,customers!$B$1:$B$1001,,0)</f>
        <v>Anjanette Goldie</v>
      </c>
      <c r="G682" s="2" t="str">
        <f>IF(_xlfn.XLOOKUP(C682,customers!$A$1:$A$1001,customers!$C$1:$C$1001, ,0)=0,"",_xlfn.XLOOKUP(C682,customers!$A$1:$A$1001,customers!$C$1:$C$1001, ,0))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c r="Q682" s="5">
        <f>_xlfn.XLOOKUP(Orders[[#This Row],[Product ID]],products!$A$1:$A$49,products!$G$1:$G$49) *Orders[[#This Row],[Quantity]]</f>
        <v>5.0625</v>
      </c>
    </row>
    <row r="683" spans="1:17" x14ac:dyDescent="0.25">
      <c r="A683" s="2" t="s">
        <v>4336</v>
      </c>
      <c r="B683" s="3">
        <v>44080</v>
      </c>
      <c r="C683" s="2" t="s">
        <v>4337</v>
      </c>
      <c r="D683" t="s">
        <v>6145</v>
      </c>
      <c r="E683" s="2">
        <v>2</v>
      </c>
      <c r="F683" s="2" t="str">
        <f>_xlfn.XLOOKUP(C683,customers!$A$1:$A$1001,customers!$B$1:$B$1001,,0)</f>
        <v>Nicky Ayris</v>
      </c>
      <c r="G683" s="2" t="str">
        <f>IF(_xlfn.XLOOKUP(C683,customers!$A$1:$A$1001,customers!$C$1:$C$1001, ,0)=0,"",_xlfn.XLOOKUP(C683,customers!$A$1:$A$1001,customers!$C$1:$C$1001, ,0))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c r="Q683" s="5">
        <f>_xlfn.XLOOKUP(Orders[[#This Row],[Product ID]],products!$A$1:$A$49,products!$G$1:$G$49) *Orders[[#This Row],[Quantity]]</f>
        <v>1.2363</v>
      </c>
    </row>
    <row r="684" spans="1:17"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 ,0)=0,"",_xlfn.XLOOKUP(C684,customers!$A$1:$A$1001,customers!$C$1:$C$1001, ,0))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c r="Q684" s="5">
        <f>_xlfn.XLOOKUP(Orders[[#This Row],[Product ID]],products!$A$1:$A$49,products!$G$1:$G$49) *Orders[[#This Row],[Quantity]]</f>
        <v>0.90749999999999997</v>
      </c>
    </row>
    <row r="685" spans="1:17" x14ac:dyDescent="0.25">
      <c r="A685" s="2" t="s">
        <v>4348</v>
      </c>
      <c r="B685" s="3">
        <v>43941</v>
      </c>
      <c r="C685" s="2" t="s">
        <v>4349</v>
      </c>
      <c r="D685" t="s">
        <v>6169</v>
      </c>
      <c r="E685" s="2">
        <v>6</v>
      </c>
      <c r="F685" s="2" t="str">
        <f>_xlfn.XLOOKUP(C685,customers!$A$1:$A$1001,customers!$B$1:$B$1001,,0)</f>
        <v>Theo Jacobovitz</v>
      </c>
      <c r="G685" s="2" t="str">
        <f>IF(_xlfn.XLOOKUP(C685,customers!$A$1:$A$1001,customers!$C$1:$C$1001, ,0)=0,"",_xlfn.XLOOKUP(C685,customers!$A$1:$A$1001,customers!$C$1:$C$1001, ,0))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c r="Q685" s="5">
        <f>_xlfn.XLOOKUP(Orders[[#This Row],[Product ID]],products!$A$1:$A$49,products!$G$1:$G$49) *Orders[[#This Row],[Quantity]]</f>
        <v>6.0606</v>
      </c>
    </row>
    <row r="686" spans="1:17" x14ac:dyDescent="0.25">
      <c r="A686" s="2" t="s">
        <v>4354</v>
      </c>
      <c r="B686" s="3">
        <v>43517</v>
      </c>
      <c r="C686" s="2" t="s">
        <v>4355</v>
      </c>
      <c r="D686" t="s">
        <v>6179</v>
      </c>
      <c r="E686" s="2">
        <v>6</v>
      </c>
      <c r="F686" s="2" t="str">
        <f>_xlfn.XLOOKUP(C686,customers!$A$1:$A$1001,customers!$B$1:$B$1001,,0)</f>
        <v>Becca Ableson</v>
      </c>
      <c r="G686" s="2" t="str">
        <f>IF(_xlfn.XLOOKUP(C686,customers!$A$1:$A$1001,customers!$C$1:$C$1001, ,0)=0,"",_xlfn.XLOOKUP(C686,customers!$A$1:$A$1001,customers!$C$1:$C$1001, ,0))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c r="Q686" s="5">
        <f>_xlfn.XLOOKUP(Orders[[#This Row],[Product ID]],products!$A$1:$A$49,products!$G$1:$G$49) *Orders[[#This Row],[Quantity]]</f>
        <v>4.3019999999999996</v>
      </c>
    </row>
    <row r="687" spans="1:17" x14ac:dyDescent="0.25">
      <c r="A687" s="2" t="s">
        <v>4359</v>
      </c>
      <c r="B687" s="3">
        <v>44637</v>
      </c>
      <c r="C687" s="2" t="s">
        <v>4360</v>
      </c>
      <c r="D687" t="s">
        <v>6164</v>
      </c>
      <c r="E687" s="2">
        <v>2</v>
      </c>
      <c r="F687" s="2" t="str">
        <f>_xlfn.XLOOKUP(C687,customers!$A$1:$A$1001,customers!$B$1:$B$1001,,0)</f>
        <v>Jeno Druitt</v>
      </c>
      <c r="G687" s="2" t="str">
        <f>IF(_xlfn.XLOOKUP(C687,customers!$A$1:$A$1001,customers!$C$1:$C$1001, ,0)=0,"",_xlfn.XLOOKUP(C687,customers!$A$1:$A$1001,customers!$C$1:$C$1001, ,0))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c r="Q687" s="5">
        <f>_xlfn.XLOOKUP(Orders[[#This Row],[Product ID]],products!$A$1:$A$49,products!$G$1:$G$49) *Orders[[#This Row],[Quantity]]</f>
        <v>9.4782999999999991</v>
      </c>
    </row>
    <row r="688" spans="1:17" x14ac:dyDescent="0.25">
      <c r="A688" s="2" t="s">
        <v>4365</v>
      </c>
      <c r="B688" s="3">
        <v>44330</v>
      </c>
      <c r="C688" s="2" t="s">
        <v>4366</v>
      </c>
      <c r="D688" t="s">
        <v>6163</v>
      </c>
      <c r="E688" s="2">
        <v>3</v>
      </c>
      <c r="F688" s="2" t="str">
        <f>_xlfn.XLOOKUP(C688,customers!$A$1:$A$1001,customers!$B$1:$B$1001,,0)</f>
        <v>Deonne Shortall</v>
      </c>
      <c r="G688" s="2" t="str">
        <f>IF(_xlfn.XLOOKUP(C688,customers!$A$1:$A$1001,customers!$C$1:$C$1001, ,0)=0,"",_xlfn.XLOOKUP(C688,customers!$A$1:$A$1001,customers!$C$1:$C$1001, ,0))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c r="Q688" s="5">
        <f>_xlfn.XLOOKUP(Orders[[#This Row],[Product ID]],products!$A$1:$A$49,products!$G$1:$G$49) *Orders[[#This Row],[Quantity]]</f>
        <v>0.4832999999999999</v>
      </c>
    </row>
    <row r="689" spans="1:17" x14ac:dyDescent="0.25">
      <c r="A689" s="2" t="s">
        <v>4371</v>
      </c>
      <c r="B689" s="3">
        <v>43471</v>
      </c>
      <c r="C689" s="2" t="s">
        <v>4372</v>
      </c>
      <c r="D689" t="s">
        <v>6139</v>
      </c>
      <c r="E689" s="2">
        <v>2</v>
      </c>
      <c r="F689" s="2" t="str">
        <f>_xlfn.XLOOKUP(C689,customers!$A$1:$A$1001,customers!$B$1:$B$1001,,0)</f>
        <v>Wilton Cottier</v>
      </c>
      <c r="G689" s="2" t="str">
        <f>IF(_xlfn.XLOOKUP(C689,customers!$A$1:$A$1001,customers!$C$1:$C$1001, ,0)=0,"",_xlfn.XLOOKUP(C689,customers!$A$1:$A$1001,customers!$C$1:$C$1001, ,0))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c r="Q689" s="5">
        <f>_xlfn.XLOOKUP(Orders[[#This Row],[Product ID]],products!$A$1:$A$49,products!$G$1:$G$49) *Orders[[#This Row],[Quantity]]</f>
        <v>1.8149999999999999</v>
      </c>
    </row>
    <row r="690" spans="1:17" x14ac:dyDescent="0.25">
      <c r="A690" s="2" t="s">
        <v>4377</v>
      </c>
      <c r="B690" s="3">
        <v>43579</v>
      </c>
      <c r="C690" s="2" t="s">
        <v>4378</v>
      </c>
      <c r="D690" t="s">
        <v>6140</v>
      </c>
      <c r="E690" s="2">
        <v>5</v>
      </c>
      <c r="F690" s="2" t="str">
        <f>_xlfn.XLOOKUP(C690,customers!$A$1:$A$1001,customers!$B$1:$B$1001,,0)</f>
        <v>Kevan Grinsted</v>
      </c>
      <c r="G690" s="2" t="str">
        <f>IF(_xlfn.XLOOKUP(C690,customers!$A$1:$A$1001,customers!$C$1:$C$1001, ,0)=0,"",_xlfn.XLOOKUP(C690,customers!$A$1:$A$1001,customers!$C$1:$C$1001, ,0))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c r="Q690" s="5">
        <f>_xlfn.XLOOKUP(Orders[[#This Row],[Product ID]],products!$A$1:$A$49,products!$G$1:$G$49) *Orders[[#This Row],[Quantity]]</f>
        <v>5.8274999999999997</v>
      </c>
    </row>
    <row r="691" spans="1:17" x14ac:dyDescent="0.25">
      <c r="A691" s="2" t="s">
        <v>4383</v>
      </c>
      <c r="B691" s="3">
        <v>44346</v>
      </c>
      <c r="C691" s="2" t="s">
        <v>4384</v>
      </c>
      <c r="D691" t="s">
        <v>6157</v>
      </c>
      <c r="E691" s="2">
        <v>5</v>
      </c>
      <c r="F691" s="2" t="str">
        <f>_xlfn.XLOOKUP(C691,customers!$A$1:$A$1001,customers!$B$1:$B$1001,,0)</f>
        <v>Dionne Skyner</v>
      </c>
      <c r="G691" s="2" t="str">
        <f>IF(_xlfn.XLOOKUP(C691,customers!$A$1:$A$1001,customers!$C$1:$C$1001, ,0)=0,"",_xlfn.XLOOKUP(C691,customers!$A$1:$A$1001,customers!$C$1:$C$1001, ,0))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c r="Q691" s="5">
        <f>_xlfn.XLOOKUP(Orders[[#This Row],[Product ID]],products!$A$1:$A$49,products!$G$1:$G$49) *Orders[[#This Row],[Quantity]]</f>
        <v>3.0374999999999996</v>
      </c>
    </row>
    <row r="692" spans="1:17"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 ,0)=0,"",_xlfn.XLOOKUP(C692,customers!$A$1:$A$1001,customers!$C$1:$C$1001, ,0))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c r="Q692" s="5">
        <f>_xlfn.XLOOKUP(Orders[[#This Row],[Product ID]],products!$A$1:$A$49,products!$G$1:$G$49) *Orders[[#This Row],[Quantity]]</f>
        <v>23.232299999999999</v>
      </c>
    </row>
    <row r="693" spans="1:17" x14ac:dyDescent="0.25">
      <c r="A693" s="2" t="s">
        <v>4393</v>
      </c>
      <c r="B693" s="3">
        <v>44227</v>
      </c>
      <c r="C693" s="2" t="s">
        <v>4434</v>
      </c>
      <c r="D693" t="s">
        <v>6155</v>
      </c>
      <c r="E693" s="2">
        <v>2</v>
      </c>
      <c r="F693" s="2" t="str">
        <f>_xlfn.XLOOKUP(C693,customers!$A$1:$A$1001,customers!$B$1:$B$1001,,0)</f>
        <v>Jimmy Dymoke</v>
      </c>
      <c r="G693" s="2" t="str">
        <f>IF(_xlfn.XLOOKUP(C693,customers!$A$1:$A$1001,customers!$C$1:$C$1001, ,0)=0,"",_xlfn.XLOOKUP(C693,customers!$A$1:$A$1001,customers!$C$1:$C$1001, ,0))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c r="Q693" s="5">
        <f>_xlfn.XLOOKUP(Orders[[#This Row],[Product ID]],products!$A$1:$A$49,products!$G$1:$G$49) *Orders[[#This Row],[Quantity]]</f>
        <v>2.0249999999999999</v>
      </c>
    </row>
    <row r="694" spans="1:17"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 ,0)=0,"",_xlfn.XLOOKUP(C694,customers!$A$1:$A$1001,customers!$C$1:$C$1001, ,0))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c r="Q694" s="5">
        <f>_xlfn.XLOOKUP(Orders[[#This Row],[Product ID]],products!$A$1:$A$49,products!$G$1:$G$49) *Orders[[#This Row],[Quantity]]</f>
        <v>1.6835</v>
      </c>
    </row>
    <row r="695" spans="1:17" x14ac:dyDescent="0.25">
      <c r="A695" s="2" t="s">
        <v>4405</v>
      </c>
      <c r="B695" s="3">
        <v>44012</v>
      </c>
      <c r="C695" s="2" t="s">
        <v>4406</v>
      </c>
      <c r="D695" t="s">
        <v>6175</v>
      </c>
      <c r="E695" s="2">
        <v>2</v>
      </c>
      <c r="F695" s="2" t="str">
        <f>_xlfn.XLOOKUP(C695,customers!$A$1:$A$1001,customers!$B$1:$B$1001,,0)</f>
        <v>Elden Andriessen</v>
      </c>
      <c r="G695" s="2" t="str">
        <f>IF(_xlfn.XLOOKUP(C695,customers!$A$1:$A$1001,customers!$C$1:$C$1001, ,0)=0,"",_xlfn.XLOOKUP(C695,customers!$A$1:$A$1001,customers!$C$1:$C$1001, ,0))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c r="Q695" s="5">
        <f>_xlfn.XLOOKUP(Orders[[#This Row],[Product ID]],products!$A$1:$A$49,products!$G$1:$G$49) *Orders[[#This Row],[Quantity]]</f>
        <v>4.6574999999999989</v>
      </c>
    </row>
    <row r="696" spans="1:17" x14ac:dyDescent="0.25">
      <c r="A696" s="2" t="s">
        <v>4411</v>
      </c>
      <c r="B696" s="3">
        <v>43915</v>
      </c>
      <c r="C696" s="2" t="s">
        <v>4412</v>
      </c>
      <c r="D696" t="s">
        <v>6144</v>
      </c>
      <c r="E696" s="2">
        <v>5</v>
      </c>
      <c r="F696" s="2" t="str">
        <f>_xlfn.XLOOKUP(C696,customers!$A$1:$A$1001,customers!$B$1:$B$1001,,0)</f>
        <v>Roxie Deaconson</v>
      </c>
      <c r="G696" s="2" t="str">
        <f>IF(_xlfn.XLOOKUP(C696,customers!$A$1:$A$1001,customers!$C$1:$C$1001, ,0)=0,"",_xlfn.XLOOKUP(C696,customers!$A$1:$A$1001,customers!$C$1:$C$1001, ,0))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c r="Q696" s="5">
        <f>_xlfn.XLOOKUP(Orders[[#This Row],[Product ID]],products!$A$1:$A$49,products!$G$1:$G$49) *Orders[[#This Row],[Quantity]]</f>
        <v>4.0095000000000001</v>
      </c>
    </row>
    <row r="697" spans="1:17" x14ac:dyDescent="0.25">
      <c r="A697" s="2" t="s">
        <v>4417</v>
      </c>
      <c r="B697" s="3">
        <v>44300</v>
      </c>
      <c r="C697" s="2" t="s">
        <v>4418</v>
      </c>
      <c r="D697" t="s">
        <v>6164</v>
      </c>
      <c r="E697" s="2">
        <v>5</v>
      </c>
      <c r="F697" s="2" t="str">
        <f>_xlfn.XLOOKUP(C697,customers!$A$1:$A$1001,customers!$B$1:$B$1001,,0)</f>
        <v>Davida Caro</v>
      </c>
      <c r="G697" s="2" t="str">
        <f>IF(_xlfn.XLOOKUP(C697,customers!$A$1:$A$1001,customers!$C$1:$C$1001, ,0)=0,"",_xlfn.XLOOKUP(C697,customers!$A$1:$A$1001,customers!$C$1:$C$1001, ,0))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c r="Q697" s="5">
        <f>_xlfn.XLOOKUP(Orders[[#This Row],[Product ID]],products!$A$1:$A$49,products!$G$1:$G$49) *Orders[[#This Row],[Quantity]]</f>
        <v>23.695749999999997</v>
      </c>
    </row>
    <row r="698" spans="1:17" x14ac:dyDescent="0.25">
      <c r="A698" s="2" t="s">
        <v>4423</v>
      </c>
      <c r="B698" s="3">
        <v>43693</v>
      </c>
      <c r="C698" s="2" t="s">
        <v>4424</v>
      </c>
      <c r="D698" t="s">
        <v>6169</v>
      </c>
      <c r="E698" s="2">
        <v>4</v>
      </c>
      <c r="F698" s="2" t="str">
        <f>_xlfn.XLOOKUP(C698,customers!$A$1:$A$1001,customers!$B$1:$B$1001,,0)</f>
        <v>Johna Bluck</v>
      </c>
      <c r="G698" s="2" t="str">
        <f>IF(_xlfn.XLOOKUP(C698,customers!$A$1:$A$1001,customers!$C$1:$C$1001, ,0)=0,"",_xlfn.XLOOKUP(C698,customers!$A$1:$A$1001,customers!$C$1:$C$1001, ,0))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c r="Q698" s="5">
        <f>_xlfn.XLOOKUP(Orders[[#This Row],[Product ID]],products!$A$1:$A$49,products!$G$1:$G$49) *Orders[[#This Row],[Quantity]]</f>
        <v>4.0404</v>
      </c>
    </row>
    <row r="699" spans="1:17" x14ac:dyDescent="0.25">
      <c r="A699" s="2" t="s">
        <v>4429</v>
      </c>
      <c r="B699" s="3">
        <v>44547</v>
      </c>
      <c r="C699" s="2" t="s">
        <v>4430</v>
      </c>
      <c r="D699" t="s">
        <v>6157</v>
      </c>
      <c r="E699" s="2">
        <v>3</v>
      </c>
      <c r="F699" s="2" t="str">
        <f>_xlfn.XLOOKUP(C699,customers!$A$1:$A$1001,customers!$B$1:$B$1001,,0)</f>
        <v>Myrle Dearden</v>
      </c>
      <c r="G699" s="2" t="str">
        <f>IF(_xlfn.XLOOKUP(C699,customers!$A$1:$A$1001,customers!$C$1:$C$1001, ,0)=0,"",_xlfn.XLOOKUP(C699,customers!$A$1:$A$1001,customers!$C$1:$C$1001, ,0))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c r="Q699" s="5">
        <f>_xlfn.XLOOKUP(Orders[[#This Row],[Product ID]],products!$A$1:$A$49,products!$G$1:$G$49) *Orders[[#This Row],[Quantity]]</f>
        <v>1.8224999999999998</v>
      </c>
    </row>
    <row r="700" spans="1:17" x14ac:dyDescent="0.25">
      <c r="A700" s="2" t="s">
        <v>4433</v>
      </c>
      <c r="B700" s="3">
        <v>43830</v>
      </c>
      <c r="C700" s="2" t="s">
        <v>4434</v>
      </c>
      <c r="D700" t="s">
        <v>6143</v>
      </c>
      <c r="E700" s="2">
        <v>2</v>
      </c>
      <c r="F700" s="2" t="str">
        <f>_xlfn.XLOOKUP(C700,customers!$A$1:$A$1001,customers!$B$1:$B$1001,,0)</f>
        <v>Jimmy Dymoke</v>
      </c>
      <c r="G700" s="2" t="str">
        <f>IF(_xlfn.XLOOKUP(C700,customers!$A$1:$A$1001,customers!$C$1:$C$1001, ,0)=0,"",_xlfn.XLOOKUP(C700,customers!$A$1:$A$1001,customers!$C$1:$C$1001, ,0))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c r="Q700" s="5">
        <f>_xlfn.XLOOKUP(Orders[[#This Row],[Product ID]],products!$A$1:$A$49,products!$G$1:$G$49) *Orders[[#This Row],[Quantity]]</f>
        <v>3.367</v>
      </c>
    </row>
    <row r="701" spans="1:17" x14ac:dyDescent="0.25">
      <c r="A701" s="2" t="s">
        <v>4439</v>
      </c>
      <c r="B701" s="3">
        <v>44298</v>
      </c>
      <c r="C701" s="2" t="s">
        <v>4440</v>
      </c>
      <c r="D701" t="s">
        <v>6158</v>
      </c>
      <c r="E701" s="2">
        <v>4</v>
      </c>
      <c r="F701" s="2" t="str">
        <f>_xlfn.XLOOKUP(C701,customers!$A$1:$A$1001,customers!$B$1:$B$1001,,0)</f>
        <v>Orland Tadman</v>
      </c>
      <c r="G701" s="2" t="str">
        <f>IF(_xlfn.XLOOKUP(C701,customers!$A$1:$A$1001,customers!$C$1:$C$1001, ,0)=0,"",_xlfn.XLOOKUP(C701,customers!$A$1:$A$1001,customers!$C$1:$C$1001, ,0))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c r="Q701" s="5">
        <f>_xlfn.XLOOKUP(Orders[[#This Row],[Product ID]],products!$A$1:$A$49,products!$G$1:$G$49) *Orders[[#This Row],[Quantity]]</f>
        <v>2.1492</v>
      </c>
    </row>
    <row r="702" spans="1:17" x14ac:dyDescent="0.25">
      <c r="A702" s="2" t="s">
        <v>4445</v>
      </c>
      <c r="B702" s="3">
        <v>43736</v>
      </c>
      <c r="C702" s="2" t="s">
        <v>4446</v>
      </c>
      <c r="D702" t="s">
        <v>6161</v>
      </c>
      <c r="E702" s="2">
        <v>2</v>
      </c>
      <c r="F702" s="2" t="str">
        <f>_xlfn.XLOOKUP(C702,customers!$A$1:$A$1001,customers!$B$1:$B$1001,,0)</f>
        <v>Barrett Gudde</v>
      </c>
      <c r="G702" s="2" t="str">
        <f>IF(_xlfn.XLOOKUP(C702,customers!$A$1:$A$1001,customers!$C$1:$C$1001, ,0)=0,"",_xlfn.XLOOKUP(C702,customers!$A$1:$A$1001,customers!$C$1:$C$1001, ,0))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c r="Q702" s="5">
        <f>_xlfn.XLOOKUP(Orders[[#This Row],[Product ID]],products!$A$1:$A$49,products!$G$1:$G$49) *Orders[[#This Row],[Quantity]]</f>
        <v>2.4725999999999999</v>
      </c>
    </row>
    <row r="703" spans="1:17" x14ac:dyDescent="0.25">
      <c r="A703" s="2" t="s">
        <v>4450</v>
      </c>
      <c r="B703" s="3">
        <v>44727</v>
      </c>
      <c r="C703" s="2" t="s">
        <v>4451</v>
      </c>
      <c r="D703" t="s">
        <v>6158</v>
      </c>
      <c r="E703" s="2">
        <v>5</v>
      </c>
      <c r="F703" s="2" t="str">
        <f>_xlfn.XLOOKUP(C703,customers!$A$1:$A$1001,customers!$B$1:$B$1001,,0)</f>
        <v>Nathan Sictornes</v>
      </c>
      <c r="G703" s="2" t="str">
        <f>IF(_xlfn.XLOOKUP(C703,customers!$A$1:$A$1001,customers!$C$1:$C$1001, ,0)=0,"",_xlfn.XLOOKUP(C703,customers!$A$1:$A$1001,customers!$C$1:$C$1001, ,0))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c r="Q703" s="5">
        <f>_xlfn.XLOOKUP(Orders[[#This Row],[Product ID]],products!$A$1:$A$49,products!$G$1:$G$49) *Orders[[#This Row],[Quantity]]</f>
        <v>2.6865000000000001</v>
      </c>
    </row>
    <row r="704" spans="1:17" x14ac:dyDescent="0.25">
      <c r="A704" s="2" t="s">
        <v>4456</v>
      </c>
      <c r="B704" s="3">
        <v>43661</v>
      </c>
      <c r="C704" s="2" t="s">
        <v>4457</v>
      </c>
      <c r="D704" t="s">
        <v>6180</v>
      </c>
      <c r="E704" s="2">
        <v>1</v>
      </c>
      <c r="F704" s="2" t="str">
        <f>_xlfn.XLOOKUP(C704,customers!$A$1:$A$1001,customers!$B$1:$B$1001,,0)</f>
        <v>Vivyan Dunning</v>
      </c>
      <c r="G704" s="2" t="str">
        <f>IF(_xlfn.XLOOKUP(C704,customers!$A$1:$A$1001,customers!$C$1:$C$1001, ,0)=0,"",_xlfn.XLOOKUP(C704,customers!$A$1:$A$1001,customers!$C$1:$C$1001, ,0))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c r="Q704" s="5">
        <f>_xlfn.XLOOKUP(Orders[[#This Row],[Product ID]],products!$A$1:$A$49,products!$G$1:$G$49) *Orders[[#This Row],[Quantity]]</f>
        <v>0.69929999999999992</v>
      </c>
    </row>
    <row r="705" spans="1:17" x14ac:dyDescent="0.25">
      <c r="A705" s="2" t="s">
        <v>4461</v>
      </c>
      <c r="B705" s="3">
        <v>43506</v>
      </c>
      <c r="C705" s="2" t="s">
        <v>4462</v>
      </c>
      <c r="D705" t="s">
        <v>6165</v>
      </c>
      <c r="E705" s="2">
        <v>4</v>
      </c>
      <c r="F705" s="2" t="str">
        <f>_xlfn.XLOOKUP(C705,customers!$A$1:$A$1001,customers!$B$1:$B$1001,,0)</f>
        <v>Doralin Baison</v>
      </c>
      <c r="G705" s="2" t="str">
        <f>IF(_xlfn.XLOOKUP(C705,customers!$A$1:$A$1001,customers!$C$1:$C$1001, ,0)=0,"",_xlfn.XLOOKUP(C705,customers!$A$1:$A$1001,customers!$C$1:$C$1001, ,0))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c r="Q705" s="5">
        <f>_xlfn.XLOOKUP(Orders[[#This Row],[Product ID]],products!$A$1:$A$49,products!$G$1:$G$49) *Orders[[#This Row],[Quantity]]</f>
        <v>15.488199999999999</v>
      </c>
    </row>
    <row r="706" spans="1:17" x14ac:dyDescent="0.25">
      <c r="A706" s="2" t="s">
        <v>4466</v>
      </c>
      <c r="B706" s="3">
        <v>44716</v>
      </c>
      <c r="C706" s="2" t="s">
        <v>4467</v>
      </c>
      <c r="D706" t="s">
        <v>6153</v>
      </c>
      <c r="E706" s="2">
        <v>6</v>
      </c>
      <c r="F706" s="2" t="str">
        <f>_xlfn.XLOOKUP(C706,customers!$A$1:$A$1001,customers!$B$1:$B$1001,,0)</f>
        <v>Josefina Ferens</v>
      </c>
      <c r="G706" s="2" t="str">
        <f>IF(_xlfn.XLOOKUP(C706,customers!$A$1:$A$1001,customers!$C$1:$C$1001, ,0)=0,"",_xlfn.XLOOKUP(C706,customers!$A$1:$A$1001,customers!$C$1:$C$1001, ,0))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c r="Q706" s="5">
        <f>_xlfn.XLOOKUP(Orders[[#This Row],[Product ID]],products!$A$1:$A$49,products!$G$1:$G$49) *Orders[[#This Row],[Quantity]]</f>
        <v>2.4057000000000004</v>
      </c>
    </row>
    <row r="707" spans="1:17" x14ac:dyDescent="0.25">
      <c r="A707" s="2" t="s">
        <v>4471</v>
      </c>
      <c r="B707" s="3">
        <v>44114</v>
      </c>
      <c r="C707" s="2" t="s">
        <v>4472</v>
      </c>
      <c r="D707" t="s">
        <v>6176</v>
      </c>
      <c r="E707" s="2">
        <v>2</v>
      </c>
      <c r="F707" s="2" t="str">
        <f>_xlfn.XLOOKUP(C707,customers!$A$1:$A$1001,customers!$B$1:$B$1001,,0)</f>
        <v>Shelley Gehring</v>
      </c>
      <c r="G707" s="2" t="str">
        <f>IF(_xlfn.XLOOKUP(C707,customers!$A$1:$A$1001,customers!$C$1:$C$1001, ,0)=0,"",_xlfn.XLOOKUP(C707,customers!$A$1:$A$1001,customers!$C$1:$C$1001, ,0))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 = "Lib","Liberica"))))</f>
        <v>Excelsa</v>
      </c>
      <c r="O707" t="str">
        <f t="shared" ref="O707:O770" si="35">IF(J707="L","Light",IF(J707="M","Medium",IF(J707="D","Dark")))</f>
        <v>Light</v>
      </c>
      <c r="P707" t="str">
        <f>_xlfn.XLOOKUP(Orders[[#This Row],[Customer ID]],customers!$A$1:$A$1001,customers!$I$1:$I$1001,,0)</f>
        <v>No</v>
      </c>
      <c r="Q707" s="5">
        <f>_xlfn.XLOOKUP(Orders[[#This Row],[Product ID]],products!$A$1:$A$49,products!$G$1:$G$49) *Orders[[#This Row],[Quantity]]</f>
        <v>1.9601999999999999</v>
      </c>
    </row>
    <row r="708" spans="1:17" x14ac:dyDescent="0.25">
      <c r="A708" s="2" t="s">
        <v>4477</v>
      </c>
      <c r="B708" s="3">
        <v>44353</v>
      </c>
      <c r="C708" s="2" t="s">
        <v>4478</v>
      </c>
      <c r="D708" t="s">
        <v>6156</v>
      </c>
      <c r="E708" s="2">
        <v>3</v>
      </c>
      <c r="F708" s="2" t="str">
        <f>_xlfn.XLOOKUP(C708,customers!$A$1:$A$1001,customers!$B$1:$B$1001,,0)</f>
        <v>Barrie Fallowes</v>
      </c>
      <c r="G708" s="2" t="str">
        <f>IF(_xlfn.XLOOKUP(C708,customers!$A$1:$A$1001,customers!$C$1:$C$1001, ,0)=0,"",_xlfn.XLOOKUP(C708,customers!$A$1:$A$1001,customers!$C$1:$C$1001, ,0))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c r="Q708" s="5">
        <f>_xlfn.XLOOKUP(Orders[[#This Row],[Product ID]],products!$A$1:$A$49,products!$G$1:$G$49) *Orders[[#This Row],[Quantity]]</f>
        <v>1.3612500000000001</v>
      </c>
    </row>
    <row r="709" spans="1:17" x14ac:dyDescent="0.25">
      <c r="A709" s="2" t="s">
        <v>4483</v>
      </c>
      <c r="B709" s="3">
        <v>43540</v>
      </c>
      <c r="C709" s="2" t="s">
        <v>4484</v>
      </c>
      <c r="D709" t="s">
        <v>6143</v>
      </c>
      <c r="E709" s="2">
        <v>2</v>
      </c>
      <c r="F709" s="2" t="str">
        <f>_xlfn.XLOOKUP(C709,customers!$A$1:$A$1001,customers!$B$1:$B$1001,,0)</f>
        <v>Nicolas Aiton</v>
      </c>
      <c r="G709" s="2" t="str">
        <f>IF(_xlfn.XLOOKUP(C709,customers!$A$1:$A$1001,customers!$C$1:$C$1001, ,0)=0,"",_xlfn.XLOOKUP(C709,customers!$A$1:$A$1001,customers!$C$1:$C$1001, ,0))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c r="Q709" s="5">
        <f>_xlfn.XLOOKUP(Orders[[#This Row],[Product ID]],products!$A$1:$A$49,products!$G$1:$G$49) *Orders[[#This Row],[Quantity]]</f>
        <v>3.367</v>
      </c>
    </row>
    <row r="710" spans="1:17" x14ac:dyDescent="0.25">
      <c r="A710" s="2" t="s">
        <v>4488</v>
      </c>
      <c r="B710" s="3">
        <v>43804</v>
      </c>
      <c r="C710" s="2" t="s">
        <v>4489</v>
      </c>
      <c r="D710" t="s">
        <v>6157</v>
      </c>
      <c r="E710" s="2">
        <v>2</v>
      </c>
      <c r="F710" s="2" t="str">
        <f>_xlfn.XLOOKUP(C710,customers!$A$1:$A$1001,customers!$B$1:$B$1001,,0)</f>
        <v>Shelli De Banke</v>
      </c>
      <c r="G710" s="2" t="str">
        <f>IF(_xlfn.XLOOKUP(C710,customers!$A$1:$A$1001,customers!$C$1:$C$1001, ,0)=0,"",_xlfn.XLOOKUP(C710,customers!$A$1:$A$1001,customers!$C$1:$C$1001, ,0))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c r="Q710" s="5">
        <f>_xlfn.XLOOKUP(Orders[[#This Row],[Product ID]],products!$A$1:$A$49,products!$G$1:$G$49) *Orders[[#This Row],[Quantity]]</f>
        <v>1.2149999999999999</v>
      </c>
    </row>
    <row r="711" spans="1:17" x14ac:dyDescent="0.25">
      <c r="A711" s="2" t="s">
        <v>4494</v>
      </c>
      <c r="B711" s="3">
        <v>43485</v>
      </c>
      <c r="C711" s="2" t="s">
        <v>4495</v>
      </c>
      <c r="D711" t="s">
        <v>6176</v>
      </c>
      <c r="E711" s="2">
        <v>2</v>
      </c>
      <c r="F711" s="2" t="str">
        <f>_xlfn.XLOOKUP(C711,customers!$A$1:$A$1001,customers!$B$1:$B$1001,,0)</f>
        <v>Lyell Murch</v>
      </c>
      <c r="G711" s="2" t="str">
        <f>IF(_xlfn.XLOOKUP(C711,customers!$A$1:$A$1001,customers!$C$1:$C$1001, ,0)=0,"",_xlfn.XLOOKUP(C711,customers!$A$1:$A$1001,customers!$C$1:$C$1001, ,0))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c r="Q711" s="5">
        <f>_xlfn.XLOOKUP(Orders[[#This Row],[Product ID]],products!$A$1:$A$49,products!$G$1:$G$49) *Orders[[#This Row],[Quantity]]</f>
        <v>1.9601999999999999</v>
      </c>
    </row>
    <row r="712" spans="1:17" x14ac:dyDescent="0.25">
      <c r="A712" s="2" t="s">
        <v>4499</v>
      </c>
      <c r="B712" s="3">
        <v>44655</v>
      </c>
      <c r="C712" s="2" t="s">
        <v>4500</v>
      </c>
      <c r="D712" t="s">
        <v>6139</v>
      </c>
      <c r="E712" s="2">
        <v>3</v>
      </c>
      <c r="F712" s="2" t="str">
        <f>_xlfn.XLOOKUP(C712,customers!$A$1:$A$1001,customers!$B$1:$B$1001,,0)</f>
        <v>Stearne Count</v>
      </c>
      <c r="G712" s="2" t="str">
        <f>IF(_xlfn.XLOOKUP(C712,customers!$A$1:$A$1001,customers!$C$1:$C$1001, ,0)=0,"",_xlfn.XLOOKUP(C712,customers!$A$1:$A$1001,customers!$C$1:$C$1001, ,0))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c r="Q712" s="5">
        <f>_xlfn.XLOOKUP(Orders[[#This Row],[Product ID]],products!$A$1:$A$49,products!$G$1:$G$49) *Orders[[#This Row],[Quantity]]</f>
        <v>2.7225000000000001</v>
      </c>
    </row>
    <row r="713" spans="1:17" x14ac:dyDescent="0.25">
      <c r="A713" s="2" t="s">
        <v>4505</v>
      </c>
      <c r="B713" s="3">
        <v>44600</v>
      </c>
      <c r="C713" s="2" t="s">
        <v>4506</v>
      </c>
      <c r="D713" t="s">
        <v>6174</v>
      </c>
      <c r="E713" s="2">
        <v>6</v>
      </c>
      <c r="F713" s="2" t="str">
        <f>_xlfn.XLOOKUP(C713,customers!$A$1:$A$1001,customers!$B$1:$B$1001,,0)</f>
        <v>Selia Ragles</v>
      </c>
      <c r="G713" s="2" t="str">
        <f>IF(_xlfn.XLOOKUP(C713,customers!$A$1:$A$1001,customers!$C$1:$C$1001, ,0)=0,"",_xlfn.XLOOKUP(C713,customers!$A$1:$A$1001,customers!$C$1:$C$1001, ,0))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IF(I713="Rob","Robusta",IF(I713="Exc","Excelsa",IF(I713="Ara","Arabica",IF(I713 = "Lib","Liberica"))))</f>
        <v>Robusta</v>
      </c>
      <c r="O713" t="str">
        <f t="shared" si="35"/>
        <v>Medium</v>
      </c>
      <c r="P713" t="str">
        <f>_xlfn.XLOOKUP(Orders[[#This Row],[Customer ID]],customers!$A$1:$A$1001,customers!$I$1:$I$1001,,0)</f>
        <v>No</v>
      </c>
      <c r="Q713" s="5">
        <f>_xlfn.XLOOKUP(Orders[[#This Row],[Product ID]],products!$A$1:$A$49,products!$G$1:$G$49) *Orders[[#This Row],[Quantity]]</f>
        <v>1.0745999999999998</v>
      </c>
    </row>
    <row r="714" spans="1:17" x14ac:dyDescent="0.25">
      <c r="A714" s="2" t="s">
        <v>4512</v>
      </c>
      <c r="B714" s="3">
        <v>43646</v>
      </c>
      <c r="C714" s="2" t="s">
        <v>4513</v>
      </c>
      <c r="D714" t="s">
        <v>6139</v>
      </c>
      <c r="E714" s="2">
        <v>2</v>
      </c>
      <c r="F714" s="2" t="str">
        <f>_xlfn.XLOOKUP(C714,customers!$A$1:$A$1001,customers!$B$1:$B$1001,,0)</f>
        <v>Silas Deehan</v>
      </c>
      <c r="G714" s="2" t="str">
        <f>IF(_xlfn.XLOOKUP(C714,customers!$A$1:$A$1001,customers!$C$1:$C$1001, ,0)=0,"",_xlfn.XLOOKUP(C714,customers!$A$1:$A$1001,customers!$C$1:$C$1001, ,0))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c r="Q714" s="5">
        <f>_xlfn.XLOOKUP(Orders[[#This Row],[Product ID]],products!$A$1:$A$49,products!$G$1:$G$49) *Orders[[#This Row],[Quantity]]</f>
        <v>1.8149999999999999</v>
      </c>
    </row>
    <row r="715" spans="1:17" x14ac:dyDescent="0.25">
      <c r="A715" s="2" t="s">
        <v>4516</v>
      </c>
      <c r="B715" s="3">
        <v>43960</v>
      </c>
      <c r="C715" s="2" t="s">
        <v>4517</v>
      </c>
      <c r="D715" t="s">
        <v>6174</v>
      </c>
      <c r="E715" s="2">
        <v>1</v>
      </c>
      <c r="F715" s="2" t="str">
        <f>_xlfn.XLOOKUP(C715,customers!$A$1:$A$1001,customers!$B$1:$B$1001,,0)</f>
        <v>Sacha Bruun</v>
      </c>
      <c r="G715" s="2" t="str">
        <f>IF(_xlfn.XLOOKUP(C715,customers!$A$1:$A$1001,customers!$C$1:$C$1001, ,0)=0,"",_xlfn.XLOOKUP(C715,customers!$A$1:$A$1001,customers!$C$1:$C$1001, ,0))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c r="Q715" s="5">
        <f>_xlfn.XLOOKUP(Orders[[#This Row],[Product ID]],products!$A$1:$A$49,products!$G$1:$G$49) *Orders[[#This Row],[Quantity]]</f>
        <v>0.17909999999999998</v>
      </c>
    </row>
    <row r="716" spans="1:17" x14ac:dyDescent="0.25">
      <c r="A716" s="2" t="s">
        <v>4522</v>
      </c>
      <c r="B716" s="3">
        <v>44358</v>
      </c>
      <c r="C716" s="2" t="s">
        <v>4523</v>
      </c>
      <c r="D716" t="s">
        <v>6153</v>
      </c>
      <c r="E716" s="2">
        <v>4</v>
      </c>
      <c r="F716" s="2" t="str">
        <f>_xlfn.XLOOKUP(C716,customers!$A$1:$A$1001,customers!$B$1:$B$1001,,0)</f>
        <v>Alon Pllu</v>
      </c>
      <c r="G716" s="2" t="str">
        <f>IF(_xlfn.XLOOKUP(C716,customers!$A$1:$A$1001,customers!$C$1:$C$1001, ,0)=0,"",_xlfn.XLOOKUP(C716,customers!$A$1:$A$1001,customers!$C$1:$C$1001, ,0))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c r="Q716" s="5">
        <f>_xlfn.XLOOKUP(Orders[[#This Row],[Product ID]],products!$A$1:$A$49,products!$G$1:$G$49) *Orders[[#This Row],[Quantity]]</f>
        <v>1.6038000000000001</v>
      </c>
    </row>
    <row r="717" spans="1:17" x14ac:dyDescent="0.25">
      <c r="A717" s="2" t="s">
        <v>4528</v>
      </c>
      <c r="B717" s="3">
        <v>44504</v>
      </c>
      <c r="C717" s="2" t="s">
        <v>4529</v>
      </c>
      <c r="D717" t="s">
        <v>6171</v>
      </c>
      <c r="E717" s="2">
        <v>6</v>
      </c>
      <c r="F717" s="2" t="str">
        <f>_xlfn.XLOOKUP(C717,customers!$A$1:$A$1001,customers!$B$1:$B$1001,,0)</f>
        <v>Gilberto Cornier</v>
      </c>
      <c r="G717" s="2" t="str">
        <f>IF(_xlfn.XLOOKUP(C717,customers!$A$1:$A$1001,customers!$C$1:$C$1001, ,0)=0,"",_xlfn.XLOOKUP(C717,customers!$A$1:$A$1001,customers!$C$1:$C$1001, ,0))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c r="Q717" s="5">
        <f>_xlfn.XLOOKUP(Orders[[#This Row],[Product ID]],products!$A$1:$A$49,products!$G$1:$G$49) *Orders[[#This Row],[Quantity]]</f>
        <v>9.8010000000000002</v>
      </c>
    </row>
    <row r="718" spans="1:17" x14ac:dyDescent="0.25">
      <c r="A718" s="2" t="s">
        <v>4533</v>
      </c>
      <c r="B718" s="3">
        <v>44612</v>
      </c>
      <c r="C718" s="2" t="s">
        <v>4434</v>
      </c>
      <c r="D718" t="s">
        <v>6179</v>
      </c>
      <c r="E718" s="2">
        <v>3</v>
      </c>
      <c r="F718" s="2" t="str">
        <f>_xlfn.XLOOKUP(C718,customers!$A$1:$A$1001,customers!$B$1:$B$1001,,0)</f>
        <v>Jimmy Dymoke</v>
      </c>
      <c r="G718" s="2" t="str">
        <f>IF(_xlfn.XLOOKUP(C718,customers!$A$1:$A$1001,customers!$C$1:$C$1001, ,0)=0,"",_xlfn.XLOOKUP(C718,customers!$A$1:$A$1001,customers!$C$1:$C$1001, ,0))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c r="Q718" s="5">
        <f>_xlfn.XLOOKUP(Orders[[#This Row],[Product ID]],products!$A$1:$A$49,products!$G$1:$G$49) *Orders[[#This Row],[Quantity]]</f>
        <v>2.1509999999999998</v>
      </c>
    </row>
    <row r="719" spans="1:17"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 ,0)=0,"",_xlfn.XLOOKUP(C719,customers!$A$1:$A$1001,customers!$C$1:$C$1001, ,0))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c r="Q719" s="5">
        <f>_xlfn.XLOOKUP(Orders[[#This Row],[Product ID]],products!$A$1:$A$49,products!$G$1:$G$49) *Orders[[#This Row],[Quantity]]</f>
        <v>6.1789499999999986</v>
      </c>
    </row>
    <row r="720" spans="1:17" x14ac:dyDescent="0.25">
      <c r="A720" s="2" t="s">
        <v>4545</v>
      </c>
      <c r="B720" s="3">
        <v>44348</v>
      </c>
      <c r="C720" s="2" t="s">
        <v>4546</v>
      </c>
      <c r="D720" t="s">
        <v>6143</v>
      </c>
      <c r="E720" s="2">
        <v>3</v>
      </c>
      <c r="F720" s="2" t="str">
        <f>_xlfn.XLOOKUP(C720,customers!$A$1:$A$1001,customers!$B$1:$B$1001,,0)</f>
        <v>Darice Heaford</v>
      </c>
      <c r="G720" s="2" t="str">
        <f>IF(_xlfn.XLOOKUP(C720,customers!$A$1:$A$1001,customers!$C$1:$C$1001, ,0)=0,"",_xlfn.XLOOKUP(C720,customers!$A$1:$A$1001,customers!$C$1:$C$1001, ,0))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c r="Q720" s="5">
        <f>_xlfn.XLOOKUP(Orders[[#This Row],[Product ID]],products!$A$1:$A$49,products!$G$1:$G$49) *Orders[[#This Row],[Quantity]]</f>
        <v>5.0504999999999995</v>
      </c>
    </row>
    <row r="721" spans="1:17" x14ac:dyDescent="0.25">
      <c r="A721" s="2" t="s">
        <v>4551</v>
      </c>
      <c r="B721" s="3">
        <v>44150</v>
      </c>
      <c r="C721" s="2" t="s">
        <v>4552</v>
      </c>
      <c r="D721" t="s">
        <v>6170</v>
      </c>
      <c r="E721" s="2">
        <v>5</v>
      </c>
      <c r="F721" s="2" t="str">
        <f>_xlfn.XLOOKUP(C721,customers!$A$1:$A$1001,customers!$B$1:$B$1001,,0)</f>
        <v>Granger Fantham</v>
      </c>
      <c r="G721" s="2" t="str">
        <f>IF(_xlfn.XLOOKUP(C721,customers!$A$1:$A$1001,customers!$C$1:$C$1001, ,0)=0,"",_xlfn.XLOOKUP(C721,customers!$A$1:$A$1001,customers!$C$1:$C$1001, ,0))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c r="Q721" s="5">
        <f>_xlfn.XLOOKUP(Orders[[#This Row],[Product ID]],products!$A$1:$A$49,products!$G$1:$G$49) *Orders[[#This Row],[Quantity]]</f>
        <v>10.302500000000002</v>
      </c>
    </row>
    <row r="722" spans="1:17"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 ,0)=0,"",_xlfn.XLOOKUP(C722,customers!$A$1:$A$1001,customers!$C$1:$C$1001, ,0))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c r="Q722" s="5">
        <f>_xlfn.XLOOKUP(Orders[[#This Row],[Product ID]],products!$A$1:$A$49,products!$G$1:$G$49) *Orders[[#This Row],[Quantity]]</f>
        <v>4.0095000000000001</v>
      </c>
    </row>
    <row r="723" spans="1:17" x14ac:dyDescent="0.25">
      <c r="A723" s="2" t="s">
        <v>4563</v>
      </c>
      <c r="B723" s="3">
        <v>44479</v>
      </c>
      <c r="C723" s="2" t="s">
        <v>4564</v>
      </c>
      <c r="D723" t="s">
        <v>6174</v>
      </c>
      <c r="E723" s="2">
        <v>3</v>
      </c>
      <c r="F723" s="2" t="str">
        <f>_xlfn.XLOOKUP(C723,customers!$A$1:$A$1001,customers!$B$1:$B$1001,,0)</f>
        <v>Niels Leake</v>
      </c>
      <c r="G723" s="2" t="str">
        <f>IF(_xlfn.XLOOKUP(C723,customers!$A$1:$A$1001,customers!$C$1:$C$1001, ,0)=0,"",_xlfn.XLOOKUP(C723,customers!$A$1:$A$1001,customers!$C$1:$C$1001, ,0))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c r="Q723" s="5">
        <f>_xlfn.XLOOKUP(Orders[[#This Row],[Product ID]],products!$A$1:$A$49,products!$G$1:$G$49) *Orders[[#This Row],[Quantity]]</f>
        <v>0.53729999999999989</v>
      </c>
    </row>
    <row r="724" spans="1:17" x14ac:dyDescent="0.25">
      <c r="A724" s="2" t="s">
        <v>4569</v>
      </c>
      <c r="B724" s="3">
        <v>44620</v>
      </c>
      <c r="C724" s="2" t="s">
        <v>4570</v>
      </c>
      <c r="D724" t="s">
        <v>6183</v>
      </c>
      <c r="E724" s="2">
        <v>2</v>
      </c>
      <c r="F724" s="2" t="str">
        <f>_xlfn.XLOOKUP(C724,customers!$A$1:$A$1001,customers!$B$1:$B$1001,,0)</f>
        <v>Hetti Measures</v>
      </c>
      <c r="G724" s="2" t="str">
        <f>IF(_xlfn.XLOOKUP(C724,customers!$A$1:$A$1001,customers!$C$1:$C$1001, ,0)=0,"",_xlfn.XLOOKUP(C724,customers!$A$1:$A$1001,customers!$C$1:$C$1001, ,0))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c r="Q724" s="5">
        <f>_xlfn.XLOOKUP(Orders[[#This Row],[Product ID]],products!$A$1:$A$49,products!$G$1:$G$49) *Orders[[#This Row],[Quantity]]</f>
        <v>2.673</v>
      </c>
    </row>
    <row r="725" spans="1:17" x14ac:dyDescent="0.25">
      <c r="A725" s="2" t="s">
        <v>4574</v>
      </c>
      <c r="B725" s="3">
        <v>44470</v>
      </c>
      <c r="C725" s="2" t="s">
        <v>4575</v>
      </c>
      <c r="D725" t="s">
        <v>6166</v>
      </c>
      <c r="E725" s="2">
        <v>2</v>
      </c>
      <c r="F725" s="2" t="str">
        <f>_xlfn.XLOOKUP(C725,customers!$A$1:$A$1001,customers!$B$1:$B$1001,,0)</f>
        <v>Gay Eilhersen</v>
      </c>
      <c r="G725" s="2" t="str">
        <f>IF(_xlfn.XLOOKUP(C725,customers!$A$1:$A$1001,customers!$C$1:$C$1001, ,0)=0,"",_xlfn.XLOOKUP(C725,customers!$A$1:$A$1001,customers!$C$1:$C$1001, ,0))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c r="Q725" s="5">
        <f>_xlfn.XLOOKUP(Orders[[#This Row],[Product ID]],products!$A$1:$A$49,products!$G$1:$G$49) *Orders[[#This Row],[Quantity]]</f>
        <v>6.9574999999999996</v>
      </c>
    </row>
    <row r="726" spans="1:17" x14ac:dyDescent="0.25">
      <c r="A726" s="2" t="s">
        <v>4580</v>
      </c>
      <c r="B726" s="3">
        <v>44076</v>
      </c>
      <c r="C726" s="2" t="s">
        <v>4581</v>
      </c>
      <c r="D726" t="s">
        <v>6152</v>
      </c>
      <c r="E726" s="2">
        <v>2</v>
      </c>
      <c r="F726" s="2" t="str">
        <f>_xlfn.XLOOKUP(C726,customers!$A$1:$A$1001,customers!$B$1:$B$1001,,0)</f>
        <v>Nico Hubert</v>
      </c>
      <c r="G726" s="2" t="str">
        <f>IF(_xlfn.XLOOKUP(C726,customers!$A$1:$A$1001,customers!$C$1:$C$1001, ,0)=0,"",_xlfn.XLOOKUP(C726,customers!$A$1:$A$1001,customers!$C$1:$C$1001, ,0))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c r="Q726" s="5">
        <f>_xlfn.XLOOKUP(Orders[[#This Row],[Product ID]],products!$A$1:$A$49,products!$G$1:$G$49) *Orders[[#This Row],[Quantity]]</f>
        <v>0.60749999999999993</v>
      </c>
    </row>
    <row r="727" spans="1:17" x14ac:dyDescent="0.25">
      <c r="A727" s="2" t="s">
        <v>4585</v>
      </c>
      <c r="B727" s="3">
        <v>44043</v>
      </c>
      <c r="C727" s="2" t="s">
        <v>4586</v>
      </c>
      <c r="D727" t="s">
        <v>6167</v>
      </c>
      <c r="E727" s="2">
        <v>6</v>
      </c>
      <c r="F727" s="2" t="str">
        <f>_xlfn.XLOOKUP(C727,customers!$A$1:$A$1001,customers!$B$1:$B$1001,,0)</f>
        <v>Cristina Aleixo</v>
      </c>
      <c r="G727" s="2" t="str">
        <f>IF(_xlfn.XLOOKUP(C727,customers!$A$1:$A$1001,customers!$C$1:$C$1001, ,0)=0,"",_xlfn.XLOOKUP(C727,customers!$A$1:$A$1001,customers!$C$1:$C$1001, ,0))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c r="Q727" s="5">
        <f>_xlfn.XLOOKUP(Orders[[#This Row],[Product ID]],products!$A$1:$A$49,products!$G$1:$G$49) *Orders[[#This Row],[Quantity]]</f>
        <v>2.0978999999999997</v>
      </c>
    </row>
    <row r="728" spans="1:17" x14ac:dyDescent="0.25">
      <c r="A728" s="2" t="s">
        <v>4591</v>
      </c>
      <c r="B728" s="3">
        <v>44571</v>
      </c>
      <c r="C728" s="2" t="s">
        <v>4592</v>
      </c>
      <c r="D728" t="s">
        <v>6164</v>
      </c>
      <c r="E728" s="2">
        <v>4</v>
      </c>
      <c r="F728" s="2" t="str">
        <f>_xlfn.XLOOKUP(C728,customers!$A$1:$A$1001,customers!$B$1:$B$1001,,0)</f>
        <v>Derrek Allpress</v>
      </c>
      <c r="G728" s="2" t="str">
        <f>IF(_xlfn.XLOOKUP(C728,customers!$A$1:$A$1001,customers!$C$1:$C$1001, ,0)=0,"",_xlfn.XLOOKUP(C728,customers!$A$1:$A$1001,customers!$C$1:$C$1001, ,0))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c r="Q728" s="5">
        <f>_xlfn.XLOOKUP(Orders[[#This Row],[Product ID]],products!$A$1:$A$49,products!$G$1:$G$49) *Orders[[#This Row],[Quantity]]</f>
        <v>18.956599999999998</v>
      </c>
    </row>
    <row r="729" spans="1:17" x14ac:dyDescent="0.25">
      <c r="A729" s="2" t="s">
        <v>4596</v>
      </c>
      <c r="B729" s="3">
        <v>44264</v>
      </c>
      <c r="C729" s="2" t="s">
        <v>4597</v>
      </c>
      <c r="D729" t="s">
        <v>6146</v>
      </c>
      <c r="E729" s="2">
        <v>5</v>
      </c>
      <c r="F729" s="2" t="str">
        <f>_xlfn.XLOOKUP(C729,customers!$A$1:$A$1001,customers!$B$1:$B$1001,,0)</f>
        <v>Rikki Tomkowicz</v>
      </c>
      <c r="G729" s="2" t="str">
        <f>IF(_xlfn.XLOOKUP(C729,customers!$A$1:$A$1001,customers!$C$1:$C$1001, ,0)=0,"",_xlfn.XLOOKUP(C729,customers!$A$1:$A$1001,customers!$C$1:$C$1001, ,0))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c r="Q729" s="5">
        <f>_xlfn.XLOOKUP(Orders[[#This Row],[Product ID]],products!$A$1:$A$49,products!$G$1:$G$49) *Orders[[#This Row],[Quantity]]</f>
        <v>1.7909999999999999</v>
      </c>
    </row>
    <row r="730" spans="1:17"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 ,0)=0,"",_xlfn.XLOOKUP(C730,customers!$A$1:$A$1001,customers!$C$1:$C$1001, ,0))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c r="Q730" s="5">
        <f>_xlfn.XLOOKUP(Orders[[#This Row],[Product ID]],products!$A$1:$A$49,products!$G$1:$G$49) *Orders[[#This Row],[Quantity]]</f>
        <v>2.4057000000000004</v>
      </c>
    </row>
    <row r="731" spans="1:17" x14ac:dyDescent="0.25">
      <c r="A731" s="2" t="s">
        <v>4608</v>
      </c>
      <c r="B731" s="3">
        <v>44634</v>
      </c>
      <c r="C731" s="2" t="s">
        <v>4609</v>
      </c>
      <c r="D731" t="s">
        <v>6159</v>
      </c>
      <c r="E731" s="2">
        <v>1</v>
      </c>
      <c r="F731" s="2" t="str">
        <f>_xlfn.XLOOKUP(C731,customers!$A$1:$A$1001,customers!$B$1:$B$1001,,0)</f>
        <v>Selle Scurrer</v>
      </c>
      <c r="G731" s="2" t="str">
        <f>IF(_xlfn.XLOOKUP(C731,customers!$A$1:$A$1001,customers!$C$1:$C$1001, ,0)=0,"",_xlfn.XLOOKUP(C731,customers!$A$1:$A$1001,customers!$C$1:$C$1001, ,0))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c r="Q731" s="5">
        <f>_xlfn.XLOOKUP(Orders[[#This Row],[Product ID]],products!$A$1:$A$49,products!$G$1:$G$49) *Orders[[#This Row],[Quantity]]</f>
        <v>0.56745000000000001</v>
      </c>
    </row>
    <row r="732" spans="1:17" x14ac:dyDescent="0.25">
      <c r="A732" s="2" t="s">
        <v>4614</v>
      </c>
      <c r="B732" s="3">
        <v>43475</v>
      </c>
      <c r="C732" s="2" t="s">
        <v>4615</v>
      </c>
      <c r="D732" t="s">
        <v>6164</v>
      </c>
      <c r="E732" s="2">
        <v>1</v>
      </c>
      <c r="F732" s="2" t="str">
        <f>_xlfn.XLOOKUP(C732,customers!$A$1:$A$1001,customers!$B$1:$B$1001,,0)</f>
        <v>Andie Rudram</v>
      </c>
      <c r="G732" s="2" t="str">
        <f>IF(_xlfn.XLOOKUP(C732,customers!$A$1:$A$1001,customers!$C$1:$C$1001, ,0)=0,"",_xlfn.XLOOKUP(C732,customers!$A$1:$A$1001,customers!$C$1:$C$1001, ,0))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c r="Q732" s="5">
        <f>_xlfn.XLOOKUP(Orders[[#This Row],[Product ID]],products!$A$1:$A$49,products!$G$1:$G$49) *Orders[[#This Row],[Quantity]]</f>
        <v>4.7391499999999995</v>
      </c>
    </row>
    <row r="733" spans="1:17"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 ,0)=0,"",_xlfn.XLOOKUP(C733,customers!$A$1:$A$1001,customers!$C$1:$C$1001, ,0))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c r="Q733" s="5">
        <f>_xlfn.XLOOKUP(Orders[[#This Row],[Product ID]],products!$A$1:$A$49,products!$G$1:$G$49) *Orders[[#This Row],[Quantity]]</f>
        <v>2.0202</v>
      </c>
    </row>
    <row r="734" spans="1:17" x14ac:dyDescent="0.25">
      <c r="A734" s="2" t="s">
        <v>4625</v>
      </c>
      <c r="B734" s="3">
        <v>44312</v>
      </c>
      <c r="C734" s="2" t="s">
        <v>4626</v>
      </c>
      <c r="D734" t="s">
        <v>6184</v>
      </c>
      <c r="E734" s="2">
        <v>2</v>
      </c>
      <c r="F734" s="2" t="str">
        <f>_xlfn.XLOOKUP(C734,customers!$A$1:$A$1001,customers!$B$1:$B$1001,,0)</f>
        <v>Jacquelyn Maha</v>
      </c>
      <c r="G734" s="2" t="str">
        <f>IF(_xlfn.XLOOKUP(C734,customers!$A$1:$A$1001,customers!$C$1:$C$1001, ,0)=0,"",_xlfn.XLOOKUP(C734,customers!$A$1:$A$1001,customers!$C$1:$C$1001, ,0))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c r="Q734" s="5">
        <f>_xlfn.XLOOKUP(Orders[[#This Row],[Product ID]],products!$A$1:$A$49,products!$G$1:$G$49) *Orders[[#This Row],[Quantity]]</f>
        <v>0.98009999999999997</v>
      </c>
    </row>
    <row r="735" spans="1:17" x14ac:dyDescent="0.25">
      <c r="A735" s="2" t="s">
        <v>4631</v>
      </c>
      <c r="B735" s="3">
        <v>44565</v>
      </c>
      <c r="C735" s="2" t="s">
        <v>4632</v>
      </c>
      <c r="D735" t="s">
        <v>6181</v>
      </c>
      <c r="E735" s="2">
        <v>3</v>
      </c>
      <c r="F735" s="2" t="str">
        <f>_xlfn.XLOOKUP(C735,customers!$A$1:$A$1001,customers!$B$1:$B$1001,,0)</f>
        <v>Glory Clemon</v>
      </c>
      <c r="G735" s="2" t="str">
        <f>IF(_xlfn.XLOOKUP(C735,customers!$A$1:$A$1001,customers!$C$1:$C$1001, ,0)=0,"",_xlfn.XLOOKUP(C735,customers!$A$1:$A$1001,customers!$C$1:$C$1001, ,0))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c r="Q735" s="5">
        <f>_xlfn.XLOOKUP(Orders[[#This Row],[Product ID]],products!$A$1:$A$49,products!$G$1:$G$49) *Orders[[#This Row],[Quantity]]</f>
        <v>13.051349999999999</v>
      </c>
    </row>
    <row r="736" spans="1:17" x14ac:dyDescent="0.25">
      <c r="A736" s="2" t="s">
        <v>4637</v>
      </c>
      <c r="B736" s="3">
        <v>43697</v>
      </c>
      <c r="C736" s="2" t="s">
        <v>4638</v>
      </c>
      <c r="D736" t="s">
        <v>6163</v>
      </c>
      <c r="E736" s="2">
        <v>5</v>
      </c>
      <c r="F736" s="2" t="str">
        <f>_xlfn.XLOOKUP(C736,customers!$A$1:$A$1001,customers!$B$1:$B$1001,,0)</f>
        <v>Alica Kift</v>
      </c>
      <c r="G736" s="2" t="str">
        <f>IF(_xlfn.XLOOKUP(C736,customers!$A$1:$A$1001,customers!$C$1:$C$1001, ,0)=0,"",_xlfn.XLOOKUP(C736,customers!$A$1:$A$1001,customers!$C$1:$C$1001, ,0))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c r="Q736" s="5">
        <f>_xlfn.XLOOKUP(Orders[[#This Row],[Product ID]],products!$A$1:$A$49,products!$G$1:$G$49) *Orders[[#This Row],[Quantity]]</f>
        <v>0.80549999999999988</v>
      </c>
    </row>
    <row r="737" spans="1:17" x14ac:dyDescent="0.25">
      <c r="A737" s="2" t="s">
        <v>4642</v>
      </c>
      <c r="B737" s="3">
        <v>44757</v>
      </c>
      <c r="C737" s="2" t="s">
        <v>4643</v>
      </c>
      <c r="D737" t="s">
        <v>6153</v>
      </c>
      <c r="E737" s="2">
        <v>6</v>
      </c>
      <c r="F737" s="2" t="str">
        <f>_xlfn.XLOOKUP(C737,customers!$A$1:$A$1001,customers!$B$1:$B$1001,,0)</f>
        <v>Babb Pollins</v>
      </c>
      <c r="G737" s="2" t="str">
        <f>IF(_xlfn.XLOOKUP(C737,customers!$A$1:$A$1001,customers!$C$1:$C$1001, ,0)=0,"",_xlfn.XLOOKUP(C737,customers!$A$1:$A$1001,customers!$C$1:$C$1001, ,0))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c r="Q737" s="5">
        <f>_xlfn.XLOOKUP(Orders[[#This Row],[Product ID]],products!$A$1:$A$49,products!$G$1:$G$49) *Orders[[#This Row],[Quantity]]</f>
        <v>2.4057000000000004</v>
      </c>
    </row>
    <row r="738" spans="1:17" x14ac:dyDescent="0.25">
      <c r="A738" s="2" t="s">
        <v>4647</v>
      </c>
      <c r="B738" s="3">
        <v>43508</v>
      </c>
      <c r="C738" s="2" t="s">
        <v>4648</v>
      </c>
      <c r="D738" t="s">
        <v>6143</v>
      </c>
      <c r="E738" s="2">
        <v>2</v>
      </c>
      <c r="F738" s="2" t="str">
        <f>_xlfn.XLOOKUP(C738,customers!$A$1:$A$1001,customers!$B$1:$B$1001,,0)</f>
        <v>Jarret Toye</v>
      </c>
      <c r="G738" s="2" t="str">
        <f>IF(_xlfn.XLOOKUP(C738,customers!$A$1:$A$1001,customers!$C$1:$C$1001, ,0)=0,"",_xlfn.XLOOKUP(C738,customers!$A$1:$A$1001,customers!$C$1:$C$1001, ,0))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c r="Q738" s="5">
        <f>_xlfn.XLOOKUP(Orders[[#This Row],[Product ID]],products!$A$1:$A$49,products!$G$1:$G$49) *Orders[[#This Row],[Quantity]]</f>
        <v>3.367</v>
      </c>
    </row>
    <row r="739" spans="1:17" x14ac:dyDescent="0.25">
      <c r="A739" s="2" t="s">
        <v>4653</v>
      </c>
      <c r="B739" s="3">
        <v>44447</v>
      </c>
      <c r="C739" s="2" t="s">
        <v>4654</v>
      </c>
      <c r="D739" t="s">
        <v>6155</v>
      </c>
      <c r="E739" s="2">
        <v>5</v>
      </c>
      <c r="F739" s="2" t="str">
        <f>_xlfn.XLOOKUP(C739,customers!$A$1:$A$1001,customers!$B$1:$B$1001,,0)</f>
        <v>Carlie Linskill</v>
      </c>
      <c r="G739" s="2" t="str">
        <f>IF(_xlfn.XLOOKUP(C739,customers!$A$1:$A$1001,customers!$C$1:$C$1001, ,0)=0,"",_xlfn.XLOOKUP(C739,customers!$A$1:$A$1001,customers!$C$1:$C$1001, ,0))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c r="Q739" s="5">
        <f>_xlfn.XLOOKUP(Orders[[#This Row],[Product ID]],products!$A$1:$A$49,products!$G$1:$G$49) *Orders[[#This Row],[Quantity]]</f>
        <v>5.0625</v>
      </c>
    </row>
    <row r="740" spans="1:17" x14ac:dyDescent="0.25">
      <c r="A740" s="2" t="s">
        <v>4659</v>
      </c>
      <c r="B740" s="3">
        <v>43812</v>
      </c>
      <c r="C740" s="2" t="s">
        <v>4660</v>
      </c>
      <c r="D740" t="s">
        <v>6178</v>
      </c>
      <c r="E740" s="2">
        <v>3</v>
      </c>
      <c r="F740" s="2" t="str">
        <f>_xlfn.XLOOKUP(C740,customers!$A$1:$A$1001,customers!$B$1:$B$1001,,0)</f>
        <v>Natal Vigrass</v>
      </c>
      <c r="G740" s="2" t="str">
        <f>IF(_xlfn.XLOOKUP(C740,customers!$A$1:$A$1001,customers!$C$1:$C$1001, ,0)=0,"",_xlfn.XLOOKUP(C740,customers!$A$1:$A$1001,customers!$C$1:$C$1001, ,0))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c r="Q740" s="5">
        <f>_xlfn.XLOOKUP(Orders[[#This Row],[Product ID]],products!$A$1:$A$49,products!$G$1:$G$49) *Orders[[#This Row],[Quantity]]</f>
        <v>0.64529999999999987</v>
      </c>
    </row>
    <row r="741" spans="1:17" x14ac:dyDescent="0.25">
      <c r="A741" s="2" t="s">
        <v>4665</v>
      </c>
      <c r="B741" s="3">
        <v>44433</v>
      </c>
      <c r="C741" s="2" t="s">
        <v>4434</v>
      </c>
      <c r="D741" t="s">
        <v>6153</v>
      </c>
      <c r="E741" s="2">
        <v>5</v>
      </c>
      <c r="F741" s="2" t="str">
        <f>_xlfn.XLOOKUP(C741,customers!$A$1:$A$1001,customers!$B$1:$B$1001,,0)</f>
        <v>Jimmy Dymoke</v>
      </c>
      <c r="G741" s="2" t="str">
        <f>IF(_xlfn.XLOOKUP(C741,customers!$A$1:$A$1001,customers!$C$1:$C$1001, ,0)=0,"",_xlfn.XLOOKUP(C741,customers!$A$1:$A$1001,customers!$C$1:$C$1001, ,0))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c r="Q741" s="5">
        <f>_xlfn.XLOOKUP(Orders[[#This Row],[Product ID]],products!$A$1:$A$49,products!$G$1:$G$49) *Orders[[#This Row],[Quantity]]</f>
        <v>2.00475</v>
      </c>
    </row>
    <row r="742" spans="1:17" x14ac:dyDescent="0.25">
      <c r="A742" s="2" t="s">
        <v>4670</v>
      </c>
      <c r="B742" s="3">
        <v>44643</v>
      </c>
      <c r="C742" s="2" t="s">
        <v>4671</v>
      </c>
      <c r="D742" t="s">
        <v>6173</v>
      </c>
      <c r="E742" s="2">
        <v>4</v>
      </c>
      <c r="F742" s="2" t="str">
        <f>_xlfn.XLOOKUP(C742,customers!$A$1:$A$1001,customers!$B$1:$B$1001,,0)</f>
        <v>Kandace Cragell</v>
      </c>
      <c r="G742" s="2" t="str">
        <f>IF(_xlfn.XLOOKUP(C742,customers!$A$1:$A$1001,customers!$C$1:$C$1001, ,0)=0,"",_xlfn.XLOOKUP(C742,customers!$A$1:$A$1001,customers!$C$1:$C$1001, ,0))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c r="Q742" s="5">
        <f>_xlfn.XLOOKUP(Orders[[#This Row],[Product ID]],products!$A$1:$A$49,products!$G$1:$G$49) *Orders[[#This Row],[Quantity]]</f>
        <v>1.7207999999999997</v>
      </c>
    </row>
    <row r="743" spans="1:17" x14ac:dyDescent="0.25">
      <c r="A743" s="2" t="s">
        <v>4676</v>
      </c>
      <c r="B743" s="3">
        <v>43566</v>
      </c>
      <c r="C743" s="2" t="s">
        <v>4677</v>
      </c>
      <c r="D743" t="s">
        <v>6159</v>
      </c>
      <c r="E743" s="2">
        <v>2</v>
      </c>
      <c r="F743" s="2" t="str">
        <f>_xlfn.XLOOKUP(C743,customers!$A$1:$A$1001,customers!$B$1:$B$1001,,0)</f>
        <v>Lyon Ibert</v>
      </c>
      <c r="G743" s="2" t="str">
        <f>IF(_xlfn.XLOOKUP(C743,customers!$A$1:$A$1001,customers!$C$1:$C$1001, ,0)=0,"",_xlfn.XLOOKUP(C743,customers!$A$1:$A$1001,customers!$C$1:$C$1001, ,0))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c r="Q743" s="5">
        <f>_xlfn.XLOOKUP(Orders[[#This Row],[Product ID]],products!$A$1:$A$49,products!$G$1:$G$49) *Orders[[#This Row],[Quantity]]</f>
        <v>1.1349</v>
      </c>
    </row>
    <row r="744" spans="1:17" x14ac:dyDescent="0.25">
      <c r="A744" s="2" t="s">
        <v>4682</v>
      </c>
      <c r="B744" s="3">
        <v>44133</v>
      </c>
      <c r="C744" s="2" t="s">
        <v>4683</v>
      </c>
      <c r="D744" t="s">
        <v>6162</v>
      </c>
      <c r="E744" s="2">
        <v>4</v>
      </c>
      <c r="F744" s="2" t="str">
        <f>_xlfn.XLOOKUP(C744,customers!$A$1:$A$1001,customers!$B$1:$B$1001,,0)</f>
        <v>Reese Lidgey</v>
      </c>
      <c r="G744" s="2" t="str">
        <f>IF(_xlfn.XLOOKUP(C744,customers!$A$1:$A$1001,customers!$C$1:$C$1001, ,0)=0,"",_xlfn.XLOOKUP(C744,customers!$A$1:$A$1001,customers!$C$1:$C$1001, ,0))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c r="Q744" s="5">
        <f>_xlfn.XLOOKUP(Orders[[#This Row],[Product ID]],products!$A$1:$A$49,products!$G$1:$G$49) *Orders[[#This Row],[Quantity]]</f>
        <v>7.5660000000000007</v>
      </c>
    </row>
    <row r="745" spans="1:17" x14ac:dyDescent="0.25">
      <c r="A745" s="2" t="s">
        <v>4688</v>
      </c>
      <c r="B745" s="3">
        <v>44042</v>
      </c>
      <c r="C745" s="2" t="s">
        <v>4689</v>
      </c>
      <c r="D745" t="s">
        <v>6158</v>
      </c>
      <c r="E745" s="2">
        <v>3</v>
      </c>
      <c r="F745" s="2" t="str">
        <f>_xlfn.XLOOKUP(C745,customers!$A$1:$A$1001,customers!$B$1:$B$1001,,0)</f>
        <v>Tersina Castagne</v>
      </c>
      <c r="G745" s="2" t="str">
        <f>IF(_xlfn.XLOOKUP(C745,customers!$A$1:$A$1001,customers!$C$1:$C$1001, ,0)=0,"",_xlfn.XLOOKUP(C745,customers!$A$1:$A$1001,customers!$C$1:$C$1001, ,0))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c r="Q745" s="5">
        <f>_xlfn.XLOOKUP(Orders[[#This Row],[Product ID]],products!$A$1:$A$49,products!$G$1:$G$49) *Orders[[#This Row],[Quantity]]</f>
        <v>1.6118999999999999</v>
      </c>
    </row>
    <row r="746" spans="1:17"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 ,0)=0,"",_xlfn.XLOOKUP(C746,customers!$A$1:$A$1001,customers!$C$1:$C$1001, ,0))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c r="Q746" s="5">
        <f>_xlfn.XLOOKUP(Orders[[#This Row],[Product ID]],products!$A$1:$A$49,products!$G$1:$G$49) *Orders[[#This Row],[Quantity]]</f>
        <v>1.0745999999999998</v>
      </c>
    </row>
    <row r="747" spans="1:17" x14ac:dyDescent="0.25">
      <c r="A747" s="2" t="s">
        <v>4699</v>
      </c>
      <c r="B747" s="3">
        <v>44557</v>
      </c>
      <c r="C747" s="2" t="s">
        <v>4700</v>
      </c>
      <c r="D747" t="s">
        <v>6144</v>
      </c>
      <c r="E747" s="2">
        <v>2</v>
      </c>
      <c r="F747" s="2" t="str">
        <f>_xlfn.XLOOKUP(C747,customers!$A$1:$A$1001,customers!$B$1:$B$1001,,0)</f>
        <v>Jordana Halden</v>
      </c>
      <c r="G747" s="2" t="str">
        <f>IF(_xlfn.XLOOKUP(C747,customers!$A$1:$A$1001,customers!$C$1:$C$1001, ,0)=0,"",_xlfn.XLOOKUP(C747,customers!$A$1:$A$1001,customers!$C$1:$C$1001, ,0))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c r="Q747" s="5">
        <f>_xlfn.XLOOKUP(Orders[[#This Row],[Product ID]],products!$A$1:$A$49,products!$G$1:$G$49) *Orders[[#This Row],[Quantity]]</f>
        <v>1.6038000000000001</v>
      </c>
    </row>
    <row r="748" spans="1:17" x14ac:dyDescent="0.25">
      <c r="A748" s="2" t="s">
        <v>4705</v>
      </c>
      <c r="B748" s="3">
        <v>43741</v>
      </c>
      <c r="C748" s="2" t="s">
        <v>4706</v>
      </c>
      <c r="D748" t="s">
        <v>6155</v>
      </c>
      <c r="E748" s="2">
        <v>3</v>
      </c>
      <c r="F748" s="2" t="str">
        <f>_xlfn.XLOOKUP(C748,customers!$A$1:$A$1001,customers!$B$1:$B$1001,,0)</f>
        <v>Hussein Olliff</v>
      </c>
      <c r="G748" s="2" t="str">
        <f>IF(_xlfn.XLOOKUP(C748,customers!$A$1:$A$1001,customers!$C$1:$C$1001, ,0)=0,"",_xlfn.XLOOKUP(C748,customers!$A$1:$A$1001,customers!$C$1:$C$1001, ,0))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c r="Q748" s="5">
        <f>_xlfn.XLOOKUP(Orders[[#This Row],[Product ID]],products!$A$1:$A$49,products!$G$1:$G$49) *Orders[[#This Row],[Quantity]]</f>
        <v>3.0374999999999996</v>
      </c>
    </row>
    <row r="749" spans="1:17" x14ac:dyDescent="0.25">
      <c r="A749" s="2" t="s">
        <v>4711</v>
      </c>
      <c r="B749" s="3">
        <v>43501</v>
      </c>
      <c r="C749" s="2" t="s">
        <v>4712</v>
      </c>
      <c r="D749" t="s">
        <v>6160</v>
      </c>
      <c r="E749" s="2">
        <v>4</v>
      </c>
      <c r="F749" s="2" t="str">
        <f>_xlfn.XLOOKUP(C749,customers!$A$1:$A$1001,customers!$B$1:$B$1001,,0)</f>
        <v>Teddi Quadri</v>
      </c>
      <c r="G749" s="2" t="str">
        <f>IF(_xlfn.XLOOKUP(C749,customers!$A$1:$A$1001,customers!$C$1:$C$1001, ,0)=0,"",_xlfn.XLOOKUP(C749,customers!$A$1:$A$1001,customers!$C$1:$C$1001, ,0))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c r="Q749" s="5">
        <f>_xlfn.XLOOKUP(Orders[[#This Row],[Product ID]],products!$A$1:$A$49,products!$G$1:$G$49) *Orders[[#This Row],[Quantity]]</f>
        <v>4.5396000000000001</v>
      </c>
    </row>
    <row r="750" spans="1:17" x14ac:dyDescent="0.25">
      <c r="A750" s="2" t="s">
        <v>4717</v>
      </c>
      <c r="B750" s="3">
        <v>44074</v>
      </c>
      <c r="C750" s="2" t="s">
        <v>4718</v>
      </c>
      <c r="D750" t="s">
        <v>6144</v>
      </c>
      <c r="E750" s="2">
        <v>2</v>
      </c>
      <c r="F750" s="2" t="str">
        <f>_xlfn.XLOOKUP(C750,customers!$A$1:$A$1001,customers!$B$1:$B$1001,,0)</f>
        <v>Felita Eshmade</v>
      </c>
      <c r="G750" s="2" t="str">
        <f>IF(_xlfn.XLOOKUP(C750,customers!$A$1:$A$1001,customers!$C$1:$C$1001, ,0)=0,"",_xlfn.XLOOKUP(C750,customers!$A$1:$A$1001,customers!$C$1:$C$1001, ,0))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c r="Q750" s="5">
        <f>_xlfn.XLOOKUP(Orders[[#This Row],[Product ID]],products!$A$1:$A$49,products!$G$1:$G$49) *Orders[[#This Row],[Quantity]]</f>
        <v>1.6038000000000001</v>
      </c>
    </row>
    <row r="751" spans="1:17" x14ac:dyDescent="0.25">
      <c r="A751" s="2" t="s">
        <v>4723</v>
      </c>
      <c r="B751" s="3">
        <v>44209</v>
      </c>
      <c r="C751" s="2" t="s">
        <v>4724</v>
      </c>
      <c r="D751" t="s">
        <v>6163</v>
      </c>
      <c r="E751" s="2">
        <v>2</v>
      </c>
      <c r="F751" s="2" t="str">
        <f>_xlfn.XLOOKUP(C751,customers!$A$1:$A$1001,customers!$B$1:$B$1001,,0)</f>
        <v>Melodie OIlier</v>
      </c>
      <c r="G751" s="2" t="str">
        <f>IF(_xlfn.XLOOKUP(C751,customers!$A$1:$A$1001,customers!$C$1:$C$1001, ,0)=0,"",_xlfn.XLOOKUP(C751,customers!$A$1:$A$1001,customers!$C$1:$C$1001, ,0))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c r="Q751" s="5">
        <f>_xlfn.XLOOKUP(Orders[[#This Row],[Product ID]],products!$A$1:$A$49,products!$G$1:$G$49) *Orders[[#This Row],[Quantity]]</f>
        <v>0.32219999999999993</v>
      </c>
    </row>
    <row r="752" spans="1:17" x14ac:dyDescent="0.25">
      <c r="A752" s="2" t="s">
        <v>4730</v>
      </c>
      <c r="B752" s="3">
        <v>44277</v>
      </c>
      <c r="C752" s="2" t="s">
        <v>4731</v>
      </c>
      <c r="D752" t="s">
        <v>6146</v>
      </c>
      <c r="E752" s="2">
        <v>1</v>
      </c>
      <c r="F752" s="2" t="str">
        <f>_xlfn.XLOOKUP(C752,customers!$A$1:$A$1001,customers!$B$1:$B$1001,,0)</f>
        <v>Hazel Iacopini</v>
      </c>
      <c r="G752" s="2" t="str">
        <f>IF(_xlfn.XLOOKUP(C752,customers!$A$1:$A$1001,customers!$C$1:$C$1001, ,0)=0,"",_xlfn.XLOOKUP(C752,customers!$A$1:$A$1001,customers!$C$1:$C$1001, ,0))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c r="Q752" s="5">
        <f>_xlfn.XLOOKUP(Orders[[#This Row],[Product ID]],products!$A$1:$A$49,products!$G$1:$G$49) *Orders[[#This Row],[Quantity]]</f>
        <v>0.35819999999999996</v>
      </c>
    </row>
    <row r="753" spans="1:17" x14ac:dyDescent="0.25">
      <c r="A753" s="2" t="s">
        <v>4735</v>
      </c>
      <c r="B753" s="3">
        <v>43847</v>
      </c>
      <c r="C753" s="2" t="s">
        <v>4736</v>
      </c>
      <c r="D753" t="s">
        <v>6161</v>
      </c>
      <c r="E753" s="2">
        <v>2</v>
      </c>
      <c r="F753" s="2" t="str">
        <f>_xlfn.XLOOKUP(C753,customers!$A$1:$A$1001,customers!$B$1:$B$1001,,0)</f>
        <v>Vinny Shoebotham</v>
      </c>
      <c r="G753" s="2" t="str">
        <f>IF(_xlfn.XLOOKUP(C753,customers!$A$1:$A$1001,customers!$C$1:$C$1001, ,0)=0,"",_xlfn.XLOOKUP(C753,customers!$A$1:$A$1001,customers!$C$1:$C$1001, ,0))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c r="Q753" s="5">
        <f>_xlfn.XLOOKUP(Orders[[#This Row],[Product ID]],products!$A$1:$A$49,products!$G$1:$G$49) *Orders[[#This Row],[Quantity]]</f>
        <v>2.4725999999999999</v>
      </c>
    </row>
    <row r="754" spans="1:17" x14ac:dyDescent="0.25">
      <c r="A754" s="2" t="s">
        <v>4741</v>
      </c>
      <c r="B754" s="3">
        <v>43648</v>
      </c>
      <c r="C754" s="2" t="s">
        <v>4742</v>
      </c>
      <c r="D754" t="s">
        <v>6141</v>
      </c>
      <c r="E754" s="2">
        <v>2</v>
      </c>
      <c r="F754" s="2" t="str">
        <f>_xlfn.XLOOKUP(C754,customers!$A$1:$A$1001,customers!$B$1:$B$1001,,0)</f>
        <v>Bran Sterke</v>
      </c>
      <c r="G754" s="2" t="str">
        <f>IF(_xlfn.XLOOKUP(C754,customers!$A$1:$A$1001,customers!$C$1:$C$1001, ,0)=0,"",_xlfn.XLOOKUP(C754,customers!$A$1:$A$1001,customers!$C$1:$C$1001, ,0))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c r="Q754" s="5">
        <f>_xlfn.XLOOKUP(Orders[[#This Row],[Product ID]],products!$A$1:$A$49,products!$G$1:$G$49) *Orders[[#This Row],[Quantity]]</f>
        <v>3.0249999999999999</v>
      </c>
    </row>
    <row r="755" spans="1:17" x14ac:dyDescent="0.25">
      <c r="A755" s="2" t="s">
        <v>4747</v>
      </c>
      <c r="B755" s="3">
        <v>44704</v>
      </c>
      <c r="C755" s="2" t="s">
        <v>4748</v>
      </c>
      <c r="D755" t="s">
        <v>6158</v>
      </c>
      <c r="E755" s="2">
        <v>5</v>
      </c>
      <c r="F755" s="2" t="str">
        <f>_xlfn.XLOOKUP(C755,customers!$A$1:$A$1001,customers!$B$1:$B$1001,,0)</f>
        <v>Simone Capon</v>
      </c>
      <c r="G755" s="2" t="str">
        <f>IF(_xlfn.XLOOKUP(C755,customers!$A$1:$A$1001,customers!$C$1:$C$1001, ,0)=0,"",_xlfn.XLOOKUP(C755,customers!$A$1:$A$1001,customers!$C$1:$C$1001, ,0))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c r="Q755" s="5">
        <f>_xlfn.XLOOKUP(Orders[[#This Row],[Product ID]],products!$A$1:$A$49,products!$G$1:$G$49) *Orders[[#This Row],[Quantity]]</f>
        <v>2.6865000000000001</v>
      </c>
    </row>
    <row r="756" spans="1:17" x14ac:dyDescent="0.25">
      <c r="A756" s="2" t="s">
        <v>4753</v>
      </c>
      <c r="B756" s="3">
        <v>44726</v>
      </c>
      <c r="C756" s="2" t="s">
        <v>4434</v>
      </c>
      <c r="D756" t="s">
        <v>6154</v>
      </c>
      <c r="E756" s="2">
        <v>6</v>
      </c>
      <c r="F756" s="2" t="str">
        <f>_xlfn.XLOOKUP(C756,customers!$A$1:$A$1001,customers!$B$1:$B$1001,,0)</f>
        <v>Jimmy Dymoke</v>
      </c>
      <c r="G756" s="2" t="str">
        <f>IF(_xlfn.XLOOKUP(C756,customers!$A$1:$A$1001,customers!$C$1:$C$1001, ,0)=0,"",_xlfn.XLOOKUP(C756,customers!$A$1:$A$1001,customers!$C$1:$C$1001, ,0))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c r="Q756" s="5">
        <f>_xlfn.XLOOKUP(Orders[[#This Row],[Product ID]],products!$A$1:$A$49,products!$G$1:$G$49) *Orders[[#This Row],[Quantity]]</f>
        <v>1.6118999999999999</v>
      </c>
    </row>
    <row r="757" spans="1:17" x14ac:dyDescent="0.25">
      <c r="A757" s="2" t="s">
        <v>4758</v>
      </c>
      <c r="B757" s="3">
        <v>44397</v>
      </c>
      <c r="C757" s="2" t="s">
        <v>4759</v>
      </c>
      <c r="D757" t="s">
        <v>6145</v>
      </c>
      <c r="E757" s="2">
        <v>6</v>
      </c>
      <c r="F757" s="2" t="str">
        <f>_xlfn.XLOOKUP(C757,customers!$A$1:$A$1001,customers!$B$1:$B$1001,,0)</f>
        <v>Foster Constance</v>
      </c>
      <c r="G757" s="2" t="str">
        <f>IF(_xlfn.XLOOKUP(C757,customers!$A$1:$A$1001,customers!$C$1:$C$1001, ,0)=0,"",_xlfn.XLOOKUP(C757,customers!$A$1:$A$1001,customers!$C$1:$C$1001, ,0))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c r="Q757" s="5">
        <f>_xlfn.XLOOKUP(Orders[[#This Row],[Product ID]],products!$A$1:$A$49,products!$G$1:$G$49) *Orders[[#This Row],[Quantity]]</f>
        <v>3.7088999999999999</v>
      </c>
    </row>
    <row r="758" spans="1:17" x14ac:dyDescent="0.25">
      <c r="A758" s="2" t="s">
        <v>4764</v>
      </c>
      <c r="B758" s="3">
        <v>44715</v>
      </c>
      <c r="C758" s="2" t="s">
        <v>4765</v>
      </c>
      <c r="D758" t="s">
        <v>6177</v>
      </c>
      <c r="E758" s="2">
        <v>4</v>
      </c>
      <c r="F758" s="2" t="str">
        <f>_xlfn.XLOOKUP(C758,customers!$A$1:$A$1001,customers!$B$1:$B$1001,,0)</f>
        <v>Fernando Sulman</v>
      </c>
      <c r="G758" s="2" t="str">
        <f>IF(_xlfn.XLOOKUP(C758,customers!$A$1:$A$1001,customers!$C$1:$C$1001, ,0)=0,"",_xlfn.XLOOKUP(C758,customers!$A$1:$A$1001,customers!$C$1:$C$1001, ,0))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c r="Q758" s="5">
        <f>_xlfn.XLOOKUP(Orders[[#This Row],[Product ID]],products!$A$1:$A$49,products!$G$1:$G$49) *Orders[[#This Row],[Quantity]]</f>
        <v>2.1479999999999997</v>
      </c>
    </row>
    <row r="759" spans="1:17" x14ac:dyDescent="0.25">
      <c r="A759" s="2" t="s">
        <v>4770</v>
      </c>
      <c r="B759" s="3">
        <v>43977</v>
      </c>
      <c r="C759" s="2" t="s">
        <v>4771</v>
      </c>
      <c r="D759" t="s">
        <v>6158</v>
      </c>
      <c r="E759" s="2">
        <v>3</v>
      </c>
      <c r="F759" s="2" t="str">
        <f>_xlfn.XLOOKUP(C759,customers!$A$1:$A$1001,customers!$B$1:$B$1001,,0)</f>
        <v>Dorotea Hollyman</v>
      </c>
      <c r="G759" s="2" t="str">
        <f>IF(_xlfn.XLOOKUP(C759,customers!$A$1:$A$1001,customers!$C$1:$C$1001, ,0)=0,"",_xlfn.XLOOKUP(C759,customers!$A$1:$A$1001,customers!$C$1:$C$1001, ,0))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c r="Q759" s="5">
        <f>_xlfn.XLOOKUP(Orders[[#This Row],[Product ID]],products!$A$1:$A$49,products!$G$1:$G$49) *Orders[[#This Row],[Quantity]]</f>
        <v>1.6118999999999999</v>
      </c>
    </row>
    <row r="760" spans="1:17" x14ac:dyDescent="0.25">
      <c r="A760" s="2" t="s">
        <v>4776</v>
      </c>
      <c r="B760" s="3">
        <v>43672</v>
      </c>
      <c r="C760" s="2" t="s">
        <v>4777</v>
      </c>
      <c r="D760" t="s">
        <v>6177</v>
      </c>
      <c r="E760" s="2">
        <v>1</v>
      </c>
      <c r="F760" s="2" t="str">
        <f>_xlfn.XLOOKUP(C760,customers!$A$1:$A$1001,customers!$B$1:$B$1001,,0)</f>
        <v>Lorelei Nardoni</v>
      </c>
      <c r="G760" s="2" t="str">
        <f>IF(_xlfn.XLOOKUP(C760,customers!$A$1:$A$1001,customers!$C$1:$C$1001, ,0)=0,"",_xlfn.XLOOKUP(C760,customers!$A$1:$A$1001,customers!$C$1:$C$1001, ,0))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c r="Q760" s="5">
        <f>_xlfn.XLOOKUP(Orders[[#This Row],[Product ID]],products!$A$1:$A$49,products!$G$1:$G$49) *Orders[[#This Row],[Quantity]]</f>
        <v>0.53699999999999992</v>
      </c>
    </row>
    <row r="761" spans="1:17" x14ac:dyDescent="0.25">
      <c r="A761" s="2" t="s">
        <v>4781</v>
      </c>
      <c r="B761" s="3">
        <v>44126</v>
      </c>
      <c r="C761" s="2" t="s">
        <v>4782</v>
      </c>
      <c r="D761" t="s">
        <v>6165</v>
      </c>
      <c r="E761" s="2">
        <v>1</v>
      </c>
      <c r="F761" s="2" t="str">
        <f>_xlfn.XLOOKUP(C761,customers!$A$1:$A$1001,customers!$B$1:$B$1001,,0)</f>
        <v>Dallas Yarham</v>
      </c>
      <c r="G761" s="2" t="str">
        <f>IF(_xlfn.XLOOKUP(C761,customers!$A$1:$A$1001,customers!$C$1:$C$1001, ,0)=0,"",_xlfn.XLOOKUP(C761,customers!$A$1:$A$1001,customers!$C$1:$C$1001, ,0))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c r="Q761" s="5">
        <f>_xlfn.XLOOKUP(Orders[[#This Row],[Product ID]],products!$A$1:$A$49,products!$G$1:$G$49) *Orders[[#This Row],[Quantity]]</f>
        <v>3.8720499999999998</v>
      </c>
    </row>
    <row r="762" spans="1:17" x14ac:dyDescent="0.25">
      <c r="A762" s="2" t="s">
        <v>4787</v>
      </c>
      <c r="B762" s="3">
        <v>44189</v>
      </c>
      <c r="C762" s="2" t="s">
        <v>4788</v>
      </c>
      <c r="D762" t="s">
        <v>6176</v>
      </c>
      <c r="E762" s="2">
        <v>5</v>
      </c>
      <c r="F762" s="2" t="str">
        <f>_xlfn.XLOOKUP(C762,customers!$A$1:$A$1001,customers!$B$1:$B$1001,,0)</f>
        <v>Arlana Ferrea</v>
      </c>
      <c r="G762" s="2" t="str">
        <f>IF(_xlfn.XLOOKUP(C762,customers!$A$1:$A$1001,customers!$C$1:$C$1001, ,0)=0,"",_xlfn.XLOOKUP(C762,customers!$A$1:$A$1001,customers!$C$1:$C$1001, ,0))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c r="Q762" s="5">
        <f>_xlfn.XLOOKUP(Orders[[#This Row],[Product ID]],products!$A$1:$A$49,products!$G$1:$G$49) *Orders[[#This Row],[Quantity]]</f>
        <v>4.9005000000000001</v>
      </c>
    </row>
    <row r="763" spans="1:17" x14ac:dyDescent="0.25">
      <c r="A763" s="2" t="s">
        <v>4792</v>
      </c>
      <c r="B763" s="3">
        <v>43714</v>
      </c>
      <c r="C763" s="2" t="s">
        <v>4793</v>
      </c>
      <c r="D763" t="s">
        <v>6171</v>
      </c>
      <c r="E763" s="2">
        <v>6</v>
      </c>
      <c r="F763" s="2" t="str">
        <f>_xlfn.XLOOKUP(C763,customers!$A$1:$A$1001,customers!$B$1:$B$1001,,0)</f>
        <v>Chuck Kendrick</v>
      </c>
      <c r="G763" s="2" t="str">
        <f>IF(_xlfn.XLOOKUP(C763,customers!$A$1:$A$1001,customers!$C$1:$C$1001, ,0)=0,"",_xlfn.XLOOKUP(C763,customers!$A$1:$A$1001,customers!$C$1:$C$1001, ,0))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c r="Q763" s="5">
        <f>_xlfn.XLOOKUP(Orders[[#This Row],[Product ID]],products!$A$1:$A$49,products!$G$1:$G$49) *Orders[[#This Row],[Quantity]]</f>
        <v>9.8010000000000002</v>
      </c>
    </row>
    <row r="764" spans="1:17"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 ,0)=0,"",_xlfn.XLOOKUP(C764,customers!$A$1:$A$1001,customers!$C$1:$C$1001, ,0))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c r="Q764" s="5">
        <f>_xlfn.XLOOKUP(Orders[[#This Row],[Product ID]],products!$A$1:$A$49,products!$G$1:$G$49) *Orders[[#This Row],[Quantity]]</f>
        <v>5.6745000000000001</v>
      </c>
    </row>
    <row r="765" spans="1:17" x14ac:dyDescent="0.25">
      <c r="A765" s="2" t="s">
        <v>4803</v>
      </c>
      <c r="B765" s="3">
        <v>44587</v>
      </c>
      <c r="C765" s="2" t="s">
        <v>4804</v>
      </c>
      <c r="D765" t="s">
        <v>6180</v>
      </c>
      <c r="E765" s="2">
        <v>3</v>
      </c>
      <c r="F765" s="2" t="str">
        <f>_xlfn.XLOOKUP(C765,customers!$A$1:$A$1001,customers!$B$1:$B$1001,,0)</f>
        <v>Sarajane Potter</v>
      </c>
      <c r="G765" s="2" t="str">
        <f>IF(_xlfn.XLOOKUP(C765,customers!$A$1:$A$1001,customers!$C$1:$C$1001, ,0)=0,"",_xlfn.XLOOKUP(C765,customers!$A$1:$A$1001,customers!$C$1:$C$1001, ,0))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c r="Q765" s="5">
        <f>_xlfn.XLOOKUP(Orders[[#This Row],[Product ID]],products!$A$1:$A$49,products!$G$1:$G$49) *Orders[[#This Row],[Quantity]]</f>
        <v>2.0978999999999997</v>
      </c>
    </row>
    <row r="766" spans="1:17" x14ac:dyDescent="0.25">
      <c r="A766" s="2" t="s">
        <v>4808</v>
      </c>
      <c r="B766" s="3">
        <v>43797</v>
      </c>
      <c r="C766" s="2" t="s">
        <v>4809</v>
      </c>
      <c r="D766" t="s">
        <v>6182</v>
      </c>
      <c r="E766" s="2">
        <v>6</v>
      </c>
      <c r="F766" s="2" t="str">
        <f>_xlfn.XLOOKUP(C766,customers!$A$1:$A$1001,customers!$B$1:$B$1001,,0)</f>
        <v>Bobby Folomkin</v>
      </c>
      <c r="G766" s="2" t="str">
        <f>IF(_xlfn.XLOOKUP(C766,customers!$A$1:$A$1001,customers!$C$1:$C$1001, ,0)=0,"",_xlfn.XLOOKUP(C766,customers!$A$1:$A$1001,customers!$C$1:$C$1001, ,0))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c r="Q766" s="5">
        <f>_xlfn.XLOOKUP(Orders[[#This Row],[Product ID]],products!$A$1:$A$49,products!$G$1:$G$49) *Orders[[#This Row],[Quantity]]</f>
        <v>16.083899999999996</v>
      </c>
    </row>
    <row r="767" spans="1:17"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 ,0)=0,"",_xlfn.XLOOKUP(C767,customers!$A$1:$A$1001,customers!$C$1:$C$1001, ,0))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c r="Q767" s="5">
        <f>_xlfn.XLOOKUP(Orders[[#This Row],[Product ID]],products!$A$1:$A$49,products!$G$1:$G$49) *Orders[[#This Row],[Quantity]]</f>
        <v>3.5819999999999999</v>
      </c>
    </row>
    <row r="768" spans="1:17"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 ,0)=0,"",_xlfn.XLOOKUP(C768,customers!$A$1:$A$1001,customers!$C$1:$C$1001, ,0))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c r="Q768" s="5">
        <f>_xlfn.XLOOKUP(Orders[[#This Row],[Product ID]],products!$A$1:$A$49,products!$G$1:$G$49) *Orders[[#This Row],[Quantity]]</f>
        <v>1.3985999999999998</v>
      </c>
    </row>
    <row r="769" spans="1:17" x14ac:dyDescent="0.25">
      <c r="A769" s="2" t="s">
        <v>4825</v>
      </c>
      <c r="B769" s="3">
        <v>44267</v>
      </c>
      <c r="C769" s="2" t="s">
        <v>4759</v>
      </c>
      <c r="D769" t="s">
        <v>6182</v>
      </c>
      <c r="E769" s="2">
        <v>3</v>
      </c>
      <c r="F769" s="2" t="str">
        <f>_xlfn.XLOOKUP(C769,customers!$A$1:$A$1001,customers!$B$1:$B$1001,,0)</f>
        <v>Foster Constance</v>
      </c>
      <c r="G769" s="2" t="str">
        <f>IF(_xlfn.XLOOKUP(C769,customers!$A$1:$A$1001,customers!$C$1:$C$1001, ,0)=0,"",_xlfn.XLOOKUP(C769,customers!$A$1:$A$1001,customers!$C$1:$C$1001, ,0))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c r="Q769" s="5">
        <f>_xlfn.XLOOKUP(Orders[[#This Row],[Product ID]],products!$A$1:$A$49,products!$G$1:$G$49) *Orders[[#This Row],[Quantity]]</f>
        <v>8.0419499999999982</v>
      </c>
    </row>
    <row r="770" spans="1:17" x14ac:dyDescent="0.25">
      <c r="A770" s="2" t="s">
        <v>4831</v>
      </c>
      <c r="B770" s="3">
        <v>44562</v>
      </c>
      <c r="C770" s="2" t="s">
        <v>4759</v>
      </c>
      <c r="D770" t="s">
        <v>6179</v>
      </c>
      <c r="E770" s="2">
        <v>2</v>
      </c>
      <c r="F770" s="2" t="str">
        <f>_xlfn.XLOOKUP(C770,customers!$A$1:$A$1001,customers!$B$1:$B$1001,,0)</f>
        <v>Foster Constance</v>
      </c>
      <c r="G770" s="2" t="str">
        <f>IF(_xlfn.XLOOKUP(C770,customers!$A$1:$A$1001,customers!$C$1:$C$1001, ,0)=0,"",_xlfn.XLOOKUP(C770,customers!$A$1:$A$1001,customers!$C$1:$C$1001, ,0))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c r="Q770" s="5">
        <f>_xlfn.XLOOKUP(Orders[[#This Row],[Product ID]],products!$A$1:$A$49,products!$G$1:$G$49) *Orders[[#This Row],[Quantity]]</f>
        <v>1.4339999999999999</v>
      </c>
    </row>
    <row r="771" spans="1:17" x14ac:dyDescent="0.25">
      <c r="A771" s="2" t="s">
        <v>4836</v>
      </c>
      <c r="B771" s="3">
        <v>43912</v>
      </c>
      <c r="C771" s="2" t="s">
        <v>4837</v>
      </c>
      <c r="D771" t="s">
        <v>6151</v>
      </c>
      <c r="E771" s="2">
        <v>6</v>
      </c>
      <c r="F771" s="2" t="str">
        <f>_xlfn.XLOOKUP(C771,customers!$A$1:$A$1001,customers!$B$1:$B$1001,,0)</f>
        <v>Dalia Eburah</v>
      </c>
      <c r="G771" s="2" t="str">
        <f>IF(_xlfn.XLOOKUP(C771,customers!$A$1:$A$1001,customers!$C$1:$C$1001, ,0)=0,"",_xlfn.XLOOKUP(C771,customers!$A$1:$A$1001,customers!$C$1:$C$1001, ,0))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 = "Lib","Liberica"))))</f>
        <v>Robusta</v>
      </c>
      <c r="O771" t="str">
        <f t="shared" ref="O771:O834" si="38">IF(J771="L","Light",IF(J771="M","Medium",IF(J771="D","Dark")))</f>
        <v>Medium</v>
      </c>
      <c r="P771" t="str">
        <f>_xlfn.XLOOKUP(Orders[[#This Row],[Customer ID]],customers!$A$1:$A$1001,customers!$I$1:$I$1001,,0)</f>
        <v>No</v>
      </c>
      <c r="Q771" s="5">
        <f>_xlfn.XLOOKUP(Orders[[#This Row],[Product ID]],products!$A$1:$A$49,products!$G$1:$G$49) *Orders[[#This Row],[Quantity]]</f>
        <v>8.2385999999999981</v>
      </c>
    </row>
    <row r="772" spans="1:17"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 ,0)=0,"",_xlfn.XLOOKUP(C772,customers!$A$1:$A$1001,customers!$C$1:$C$1001, ,0))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c r="Q772" s="5">
        <f>_xlfn.XLOOKUP(Orders[[#This Row],[Product ID]],products!$A$1:$A$49,products!$G$1:$G$49) *Orders[[#This Row],[Quantity]]</f>
        <v>0.89549999999999985</v>
      </c>
    </row>
    <row r="773" spans="1:17" x14ac:dyDescent="0.25">
      <c r="A773" s="2" t="s">
        <v>4847</v>
      </c>
      <c r="B773" s="3">
        <v>43468</v>
      </c>
      <c r="C773" s="2" t="s">
        <v>4848</v>
      </c>
      <c r="D773" t="s">
        <v>6173</v>
      </c>
      <c r="E773" s="2">
        <v>3</v>
      </c>
      <c r="F773" s="2" t="str">
        <f>_xlfn.XLOOKUP(C773,customers!$A$1:$A$1001,customers!$B$1:$B$1001,,0)</f>
        <v>Suzanna Bollam</v>
      </c>
      <c r="G773" s="2" t="str">
        <f>IF(_xlfn.XLOOKUP(C773,customers!$A$1:$A$1001,customers!$C$1:$C$1001, ,0)=0,"",_xlfn.XLOOKUP(C773,customers!$A$1:$A$1001,customers!$C$1:$C$1001, ,0))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c r="Q773" s="5">
        <f>_xlfn.XLOOKUP(Orders[[#This Row],[Product ID]],products!$A$1:$A$49,products!$G$1:$G$49) *Orders[[#This Row],[Quantity]]</f>
        <v>1.2905999999999997</v>
      </c>
    </row>
    <row r="774" spans="1:17" x14ac:dyDescent="0.25">
      <c r="A774" s="2" t="s">
        <v>4853</v>
      </c>
      <c r="B774" s="3">
        <v>44468</v>
      </c>
      <c r="C774" s="2" t="s">
        <v>4854</v>
      </c>
      <c r="D774" t="s">
        <v>6141</v>
      </c>
      <c r="E774" s="2">
        <v>6</v>
      </c>
      <c r="F774" s="2" t="str">
        <f>_xlfn.XLOOKUP(C774,customers!$A$1:$A$1001,customers!$B$1:$B$1001,,0)</f>
        <v>Mellisa Mebes</v>
      </c>
      <c r="G774" s="2" t="str">
        <f>IF(_xlfn.XLOOKUP(C774,customers!$A$1:$A$1001,customers!$C$1:$C$1001, ,0)=0,"",_xlfn.XLOOKUP(C774,customers!$A$1:$A$1001,customers!$C$1:$C$1001, ,0))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c r="Q774" s="5">
        <f>_xlfn.XLOOKUP(Orders[[#This Row],[Product ID]],products!$A$1:$A$49,products!$G$1:$G$49) *Orders[[#This Row],[Quantity]]</f>
        <v>9.0749999999999993</v>
      </c>
    </row>
    <row r="775" spans="1:17" x14ac:dyDescent="0.25">
      <c r="A775" s="2" t="s">
        <v>4858</v>
      </c>
      <c r="B775" s="3">
        <v>44488</v>
      </c>
      <c r="C775" s="2" t="s">
        <v>4859</v>
      </c>
      <c r="D775" t="s">
        <v>6159</v>
      </c>
      <c r="E775" s="2">
        <v>2</v>
      </c>
      <c r="F775" s="2" t="str">
        <f>_xlfn.XLOOKUP(C775,customers!$A$1:$A$1001,customers!$B$1:$B$1001,,0)</f>
        <v>Alva Filipczak</v>
      </c>
      <c r="G775" s="2" t="str">
        <f>IF(_xlfn.XLOOKUP(C775,customers!$A$1:$A$1001,customers!$C$1:$C$1001, ,0)=0,"",_xlfn.XLOOKUP(C775,customers!$A$1:$A$1001,customers!$C$1:$C$1001, ,0))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c r="Q775" s="5">
        <f>_xlfn.XLOOKUP(Orders[[#This Row],[Product ID]],products!$A$1:$A$49,products!$G$1:$G$49) *Orders[[#This Row],[Quantity]]</f>
        <v>1.1349</v>
      </c>
    </row>
    <row r="776" spans="1:17" x14ac:dyDescent="0.25">
      <c r="A776" s="2" t="s">
        <v>4864</v>
      </c>
      <c r="B776" s="3">
        <v>44756</v>
      </c>
      <c r="C776" s="2" t="s">
        <v>4865</v>
      </c>
      <c r="D776" t="s">
        <v>6138</v>
      </c>
      <c r="E776" s="2">
        <v>2</v>
      </c>
      <c r="F776" s="2" t="str">
        <f>_xlfn.XLOOKUP(C776,customers!$A$1:$A$1001,customers!$B$1:$B$1001,,0)</f>
        <v>Dorette Hinemoor</v>
      </c>
      <c r="G776" s="2" t="str">
        <f>IF(_xlfn.XLOOKUP(C776,customers!$A$1:$A$1001,customers!$C$1:$C$1001, ,0)=0,"",_xlfn.XLOOKUP(C776,customers!$A$1:$A$1001,customers!$C$1:$C$1001, ,0))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c r="Q776" s="5">
        <f>_xlfn.XLOOKUP(Orders[[#This Row],[Product ID]],products!$A$1:$A$49,products!$G$1:$G$49) *Orders[[#This Row],[Quantity]]</f>
        <v>1.194</v>
      </c>
    </row>
    <row r="777" spans="1:17" x14ac:dyDescent="0.25">
      <c r="A777" s="2" t="s">
        <v>4869</v>
      </c>
      <c r="B777" s="3">
        <v>44396</v>
      </c>
      <c r="C777" s="2" t="s">
        <v>4870</v>
      </c>
      <c r="D777" t="s">
        <v>6176</v>
      </c>
      <c r="E777" s="2">
        <v>2</v>
      </c>
      <c r="F777" s="2" t="str">
        <f>_xlfn.XLOOKUP(C777,customers!$A$1:$A$1001,customers!$B$1:$B$1001,,0)</f>
        <v>Rhetta Elnaugh</v>
      </c>
      <c r="G777" s="2" t="str">
        <f>IF(_xlfn.XLOOKUP(C777,customers!$A$1:$A$1001,customers!$C$1:$C$1001, ,0)=0,"",_xlfn.XLOOKUP(C777,customers!$A$1:$A$1001,customers!$C$1:$C$1001, ,0))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c r="Q777" s="5">
        <f>_xlfn.XLOOKUP(Orders[[#This Row],[Product ID]],products!$A$1:$A$49,products!$G$1:$G$49) *Orders[[#This Row],[Quantity]]</f>
        <v>1.9601999999999999</v>
      </c>
    </row>
    <row r="778" spans="1:17" x14ac:dyDescent="0.25">
      <c r="A778" s="2" t="s">
        <v>4875</v>
      </c>
      <c r="B778" s="3">
        <v>44540</v>
      </c>
      <c r="C778" s="2" t="s">
        <v>4876</v>
      </c>
      <c r="D778" t="s">
        <v>6157</v>
      </c>
      <c r="E778" s="2">
        <v>3</v>
      </c>
      <c r="F778" s="2" t="str">
        <f>_xlfn.XLOOKUP(C778,customers!$A$1:$A$1001,customers!$B$1:$B$1001,,0)</f>
        <v>Jule Deehan</v>
      </c>
      <c r="G778" s="2" t="str">
        <f>IF(_xlfn.XLOOKUP(C778,customers!$A$1:$A$1001,customers!$C$1:$C$1001, ,0)=0,"",_xlfn.XLOOKUP(C778,customers!$A$1:$A$1001,customers!$C$1:$C$1001, ,0))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c r="Q778" s="5">
        <f>_xlfn.XLOOKUP(Orders[[#This Row],[Product ID]],products!$A$1:$A$49,products!$G$1:$G$49) *Orders[[#This Row],[Quantity]]</f>
        <v>1.8224999999999998</v>
      </c>
    </row>
    <row r="779" spans="1:17" x14ac:dyDescent="0.25">
      <c r="A779" s="2" t="s">
        <v>4881</v>
      </c>
      <c r="B779" s="3">
        <v>43541</v>
      </c>
      <c r="C779" s="2" t="s">
        <v>4882</v>
      </c>
      <c r="D779" t="s">
        <v>6182</v>
      </c>
      <c r="E779" s="2">
        <v>2</v>
      </c>
      <c r="F779" s="2" t="str">
        <f>_xlfn.XLOOKUP(C779,customers!$A$1:$A$1001,customers!$B$1:$B$1001,,0)</f>
        <v>Janella Eden</v>
      </c>
      <c r="G779" s="2" t="str">
        <f>IF(_xlfn.XLOOKUP(C779,customers!$A$1:$A$1001,customers!$C$1:$C$1001, ,0)=0,"",_xlfn.XLOOKUP(C779,customers!$A$1:$A$1001,customers!$C$1:$C$1001, ,0))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c r="Q779" s="5">
        <f>_xlfn.XLOOKUP(Orders[[#This Row],[Product ID]],products!$A$1:$A$49,products!$G$1:$G$49) *Orders[[#This Row],[Quantity]]</f>
        <v>5.3612999999999991</v>
      </c>
    </row>
    <row r="780" spans="1:17" x14ac:dyDescent="0.25">
      <c r="A780" s="2" t="s">
        <v>4886</v>
      </c>
      <c r="B780" s="3">
        <v>43889</v>
      </c>
      <c r="C780" s="2" t="s">
        <v>4933</v>
      </c>
      <c r="D780" t="s">
        <v>6161</v>
      </c>
      <c r="E780" s="2">
        <v>2</v>
      </c>
      <c r="F780" s="2" t="str">
        <f>_xlfn.XLOOKUP(C780,customers!$A$1:$A$1001,customers!$B$1:$B$1001,,0)</f>
        <v>Cam Jewster</v>
      </c>
      <c r="G780" s="2" t="str">
        <f>IF(_xlfn.XLOOKUP(C780,customers!$A$1:$A$1001,customers!$C$1:$C$1001, ,0)=0,"",_xlfn.XLOOKUP(C780,customers!$A$1:$A$1001,customers!$C$1:$C$1001, ,0))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c r="Q780" s="5">
        <f>_xlfn.XLOOKUP(Orders[[#This Row],[Product ID]],products!$A$1:$A$49,products!$G$1:$G$49) *Orders[[#This Row],[Quantity]]</f>
        <v>2.4725999999999999</v>
      </c>
    </row>
    <row r="781" spans="1:17" x14ac:dyDescent="0.25">
      <c r="A781" s="2" t="s">
        <v>4892</v>
      </c>
      <c r="B781" s="3">
        <v>43985</v>
      </c>
      <c r="C781" s="2" t="s">
        <v>4893</v>
      </c>
      <c r="D781" t="s">
        <v>6143</v>
      </c>
      <c r="E781" s="2">
        <v>6</v>
      </c>
      <c r="F781" s="2" t="str">
        <f>_xlfn.XLOOKUP(C781,customers!$A$1:$A$1001,customers!$B$1:$B$1001,,0)</f>
        <v>Ugo Southerden</v>
      </c>
      <c r="G781" s="2" t="str">
        <f>IF(_xlfn.XLOOKUP(C781,customers!$A$1:$A$1001,customers!$C$1:$C$1001, ,0)=0,"",_xlfn.XLOOKUP(C781,customers!$A$1:$A$1001,customers!$C$1:$C$1001, ,0))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c r="Q781" s="5">
        <f>_xlfn.XLOOKUP(Orders[[#This Row],[Product ID]],products!$A$1:$A$49,products!$G$1:$G$49) *Orders[[#This Row],[Quantity]]</f>
        <v>10.100999999999999</v>
      </c>
    </row>
    <row r="782" spans="1:17" x14ac:dyDescent="0.25">
      <c r="A782" s="2" t="s">
        <v>4898</v>
      </c>
      <c r="B782" s="3">
        <v>43883</v>
      </c>
      <c r="C782" s="2" t="s">
        <v>4899</v>
      </c>
      <c r="D782" t="s">
        <v>6141</v>
      </c>
      <c r="E782" s="2">
        <v>3</v>
      </c>
      <c r="F782" s="2" t="str">
        <f>_xlfn.XLOOKUP(C782,customers!$A$1:$A$1001,customers!$B$1:$B$1001,,0)</f>
        <v>Verne Dunkerley</v>
      </c>
      <c r="G782" s="2" t="str">
        <f>IF(_xlfn.XLOOKUP(C782,customers!$A$1:$A$1001,customers!$C$1:$C$1001, ,0)=0,"",_xlfn.XLOOKUP(C782,customers!$A$1:$A$1001,customers!$C$1:$C$1001, ,0))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c r="Q782" s="5">
        <f>_xlfn.XLOOKUP(Orders[[#This Row],[Product ID]],products!$A$1:$A$49,products!$G$1:$G$49) *Orders[[#This Row],[Quantity]]</f>
        <v>4.5374999999999996</v>
      </c>
    </row>
    <row r="783" spans="1:17" x14ac:dyDescent="0.25">
      <c r="A783" s="2" t="s">
        <v>4903</v>
      </c>
      <c r="B783" s="3">
        <v>43778</v>
      </c>
      <c r="C783" s="2" t="s">
        <v>4904</v>
      </c>
      <c r="D783" t="s">
        <v>6164</v>
      </c>
      <c r="E783" s="2">
        <v>4</v>
      </c>
      <c r="F783" s="2" t="str">
        <f>_xlfn.XLOOKUP(C783,customers!$A$1:$A$1001,customers!$B$1:$B$1001,,0)</f>
        <v>Lacee Burtenshaw</v>
      </c>
      <c r="G783" s="2" t="str">
        <f>IF(_xlfn.XLOOKUP(C783,customers!$A$1:$A$1001,customers!$C$1:$C$1001, ,0)=0,"",_xlfn.XLOOKUP(C783,customers!$A$1:$A$1001,customers!$C$1:$C$1001, ,0))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c r="Q783" s="5">
        <f>_xlfn.XLOOKUP(Orders[[#This Row],[Product ID]],products!$A$1:$A$49,products!$G$1:$G$49) *Orders[[#This Row],[Quantity]]</f>
        <v>18.956599999999998</v>
      </c>
    </row>
    <row r="784" spans="1:17"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 ,0)=0,"",_xlfn.XLOOKUP(C784,customers!$A$1:$A$1001,customers!$C$1:$C$1001, ,0))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c r="Q784" s="5">
        <f>_xlfn.XLOOKUP(Orders[[#This Row],[Product ID]],products!$A$1:$A$49,products!$G$1:$G$49) *Orders[[#This Row],[Quantity]]</f>
        <v>2.9402999999999997</v>
      </c>
    </row>
    <row r="785" spans="1:17" x14ac:dyDescent="0.25">
      <c r="A785" s="2" t="s">
        <v>4915</v>
      </c>
      <c r="B785" s="3">
        <v>44312</v>
      </c>
      <c r="C785" s="2" t="s">
        <v>4916</v>
      </c>
      <c r="D785" t="s">
        <v>6160</v>
      </c>
      <c r="E785" s="2">
        <v>5</v>
      </c>
      <c r="F785" s="2" t="str">
        <f>_xlfn.XLOOKUP(C785,customers!$A$1:$A$1001,customers!$B$1:$B$1001,,0)</f>
        <v>Chris Croster</v>
      </c>
      <c r="G785" s="2" t="str">
        <f>IF(_xlfn.XLOOKUP(C785,customers!$A$1:$A$1001,customers!$C$1:$C$1001, ,0)=0,"",_xlfn.XLOOKUP(C785,customers!$A$1:$A$1001,customers!$C$1:$C$1001, ,0))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c r="Q785" s="5">
        <f>_xlfn.XLOOKUP(Orders[[#This Row],[Product ID]],products!$A$1:$A$49,products!$G$1:$G$49) *Orders[[#This Row],[Quantity]]</f>
        <v>5.6745000000000001</v>
      </c>
    </row>
    <row r="786" spans="1:17" x14ac:dyDescent="0.25">
      <c r="A786" s="2" t="s">
        <v>4921</v>
      </c>
      <c r="B786" s="3">
        <v>44511</v>
      </c>
      <c r="C786" s="2" t="s">
        <v>4922</v>
      </c>
      <c r="D786" t="s">
        <v>6170</v>
      </c>
      <c r="E786" s="2">
        <v>2</v>
      </c>
      <c r="F786" s="2" t="str">
        <f>_xlfn.XLOOKUP(C786,customers!$A$1:$A$1001,customers!$B$1:$B$1001,,0)</f>
        <v>Graeme Whitehead</v>
      </c>
      <c r="G786" s="2" t="str">
        <f>IF(_xlfn.XLOOKUP(C786,customers!$A$1:$A$1001,customers!$C$1:$C$1001, ,0)=0,"",_xlfn.XLOOKUP(C786,customers!$A$1:$A$1001,customers!$C$1:$C$1001, ,0))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c r="Q786" s="5">
        <f>_xlfn.XLOOKUP(Orders[[#This Row],[Product ID]],products!$A$1:$A$49,products!$G$1:$G$49) *Orders[[#This Row],[Quantity]]</f>
        <v>4.1210000000000004</v>
      </c>
    </row>
    <row r="787" spans="1:17" x14ac:dyDescent="0.25">
      <c r="A787" s="2" t="s">
        <v>4926</v>
      </c>
      <c r="B787" s="3">
        <v>44362</v>
      </c>
      <c r="C787" s="2" t="s">
        <v>4927</v>
      </c>
      <c r="D787" t="s">
        <v>6168</v>
      </c>
      <c r="E787" s="2">
        <v>1</v>
      </c>
      <c r="F787" s="2" t="str">
        <f>_xlfn.XLOOKUP(C787,customers!$A$1:$A$1001,customers!$B$1:$B$1001,,0)</f>
        <v>Haslett Jodrelle</v>
      </c>
      <c r="G787" s="2" t="str">
        <f>IF(_xlfn.XLOOKUP(C787,customers!$A$1:$A$1001,customers!$C$1:$C$1001, ,0)=0,"",_xlfn.XLOOKUP(C787,customers!$A$1:$A$1001,customers!$C$1:$C$1001, ,0))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c r="Q787" s="5">
        <f>_xlfn.XLOOKUP(Orders[[#This Row],[Product ID]],products!$A$1:$A$49,products!$G$1:$G$49) *Orders[[#This Row],[Quantity]]</f>
        <v>2.0596499999999995</v>
      </c>
    </row>
    <row r="788" spans="1:17" x14ac:dyDescent="0.25">
      <c r="A788" s="2" t="s">
        <v>4932</v>
      </c>
      <c r="B788" s="3">
        <v>43888</v>
      </c>
      <c r="C788" s="2" t="s">
        <v>4933</v>
      </c>
      <c r="D788" t="s">
        <v>6185</v>
      </c>
      <c r="E788" s="2">
        <v>1</v>
      </c>
      <c r="F788" s="2" t="str">
        <f>_xlfn.XLOOKUP(C788,customers!$A$1:$A$1001,customers!$B$1:$B$1001,,0)</f>
        <v>Cam Jewster</v>
      </c>
      <c r="G788" s="2" t="str">
        <f>IF(_xlfn.XLOOKUP(C788,customers!$A$1:$A$1001,customers!$C$1:$C$1001, ,0)=0,"",_xlfn.XLOOKUP(C788,customers!$A$1:$A$1001,customers!$C$1:$C$1001, ,0))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c r="Q788" s="5">
        <f>_xlfn.XLOOKUP(Orders[[#This Row],[Product ID]],products!$A$1:$A$49,products!$G$1:$G$49) *Orders[[#This Row],[Quantity]]</f>
        <v>3.07395</v>
      </c>
    </row>
    <row r="789" spans="1:17" x14ac:dyDescent="0.25">
      <c r="A789" s="2" t="s">
        <v>4938</v>
      </c>
      <c r="B789" s="3">
        <v>44305</v>
      </c>
      <c r="C789" s="2" t="s">
        <v>4939</v>
      </c>
      <c r="D789" t="s">
        <v>6141</v>
      </c>
      <c r="E789" s="2">
        <v>6</v>
      </c>
      <c r="F789" s="2" t="str">
        <f>_xlfn.XLOOKUP(C789,customers!$A$1:$A$1001,customers!$B$1:$B$1001,,0)</f>
        <v>Beryl Osborn</v>
      </c>
      <c r="G789" s="2" t="str">
        <f>IF(_xlfn.XLOOKUP(C789,customers!$A$1:$A$1001,customers!$C$1:$C$1001, ,0)=0,"",_xlfn.XLOOKUP(C789,customers!$A$1:$A$1001,customers!$C$1:$C$1001, ,0))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c r="Q789" s="5">
        <f>_xlfn.XLOOKUP(Orders[[#This Row],[Product ID]],products!$A$1:$A$49,products!$G$1:$G$49) *Orders[[#This Row],[Quantity]]</f>
        <v>9.0749999999999993</v>
      </c>
    </row>
    <row r="790" spans="1:17" x14ac:dyDescent="0.25">
      <c r="A790" s="2" t="s">
        <v>4943</v>
      </c>
      <c r="B790" s="3">
        <v>44771</v>
      </c>
      <c r="C790" s="2" t="s">
        <v>4944</v>
      </c>
      <c r="D790" t="s">
        <v>6151</v>
      </c>
      <c r="E790" s="2">
        <v>2</v>
      </c>
      <c r="F790" s="2" t="str">
        <f>_xlfn.XLOOKUP(C790,customers!$A$1:$A$1001,customers!$B$1:$B$1001,,0)</f>
        <v>Kaela Nottram</v>
      </c>
      <c r="G790" s="2" t="str">
        <f>IF(_xlfn.XLOOKUP(C790,customers!$A$1:$A$1001,customers!$C$1:$C$1001, ,0)=0,"",_xlfn.XLOOKUP(C790,customers!$A$1:$A$1001,customers!$C$1:$C$1001, ,0))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c r="Q790" s="5">
        <f>_xlfn.XLOOKUP(Orders[[#This Row],[Product ID]],products!$A$1:$A$49,products!$G$1:$G$49) *Orders[[#This Row],[Quantity]]</f>
        <v>2.7461999999999995</v>
      </c>
    </row>
    <row r="791" spans="1:17" x14ac:dyDescent="0.25">
      <c r="A791" s="2" t="s">
        <v>4949</v>
      </c>
      <c r="B791" s="3">
        <v>43485</v>
      </c>
      <c r="C791" s="2" t="s">
        <v>4950</v>
      </c>
      <c r="D791" t="s">
        <v>6140</v>
      </c>
      <c r="E791" s="2">
        <v>6</v>
      </c>
      <c r="F791" s="2" t="str">
        <f>_xlfn.XLOOKUP(C791,customers!$A$1:$A$1001,customers!$B$1:$B$1001,,0)</f>
        <v>Nobe Buney</v>
      </c>
      <c r="G791" s="2" t="str">
        <f>IF(_xlfn.XLOOKUP(C791,customers!$A$1:$A$1001,customers!$C$1:$C$1001, ,0)=0,"",_xlfn.XLOOKUP(C791,customers!$A$1:$A$1001,customers!$C$1:$C$1001, ,0))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c r="Q791" s="5">
        <f>_xlfn.XLOOKUP(Orders[[#This Row],[Product ID]],products!$A$1:$A$49,products!$G$1:$G$49) *Orders[[#This Row],[Quantity]]</f>
        <v>6.9930000000000003</v>
      </c>
    </row>
    <row r="792" spans="1:17" x14ac:dyDescent="0.25">
      <c r="A792" s="2" t="s">
        <v>4955</v>
      </c>
      <c r="B792" s="3">
        <v>44613</v>
      </c>
      <c r="C792" s="2" t="s">
        <v>4956</v>
      </c>
      <c r="D792" t="s">
        <v>6180</v>
      </c>
      <c r="E792" s="2">
        <v>3</v>
      </c>
      <c r="F792" s="2" t="str">
        <f>_xlfn.XLOOKUP(C792,customers!$A$1:$A$1001,customers!$B$1:$B$1001,,0)</f>
        <v>Silvan McShea</v>
      </c>
      <c r="G792" s="2" t="str">
        <f>IF(_xlfn.XLOOKUP(C792,customers!$A$1:$A$1001,customers!$C$1:$C$1001, ,0)=0,"",_xlfn.XLOOKUP(C792,customers!$A$1:$A$1001,customers!$C$1:$C$1001, ,0))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c r="Q792" s="5">
        <f>_xlfn.XLOOKUP(Orders[[#This Row],[Product ID]],products!$A$1:$A$49,products!$G$1:$G$49) *Orders[[#This Row],[Quantity]]</f>
        <v>2.0978999999999997</v>
      </c>
    </row>
    <row r="793" spans="1:17" x14ac:dyDescent="0.25">
      <c r="A793" s="2" t="s">
        <v>4961</v>
      </c>
      <c r="B793" s="3">
        <v>43954</v>
      </c>
      <c r="C793" s="2" t="s">
        <v>4962</v>
      </c>
      <c r="D793" t="s">
        <v>6145</v>
      </c>
      <c r="E793" s="2">
        <v>5</v>
      </c>
      <c r="F793" s="2" t="str">
        <f>_xlfn.XLOOKUP(C793,customers!$A$1:$A$1001,customers!$B$1:$B$1001,,0)</f>
        <v>Karylin Huddart</v>
      </c>
      <c r="G793" s="2" t="str">
        <f>IF(_xlfn.XLOOKUP(C793,customers!$A$1:$A$1001,customers!$C$1:$C$1001, ,0)=0,"",_xlfn.XLOOKUP(C793,customers!$A$1:$A$1001,customers!$C$1:$C$1001, ,0))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c r="Q793" s="5">
        <f>_xlfn.XLOOKUP(Orders[[#This Row],[Product ID]],products!$A$1:$A$49,products!$G$1:$G$49) *Orders[[#This Row],[Quantity]]</f>
        <v>3.0907499999999999</v>
      </c>
    </row>
    <row r="794" spans="1:17" x14ac:dyDescent="0.25">
      <c r="A794" s="2" t="s">
        <v>4967</v>
      </c>
      <c r="B794" s="3">
        <v>43545</v>
      </c>
      <c r="C794" s="2" t="s">
        <v>4968</v>
      </c>
      <c r="D794" t="s">
        <v>6160</v>
      </c>
      <c r="E794" s="2">
        <v>6</v>
      </c>
      <c r="F794" s="2" t="str">
        <f>_xlfn.XLOOKUP(C794,customers!$A$1:$A$1001,customers!$B$1:$B$1001,,0)</f>
        <v>Jereme Gippes</v>
      </c>
      <c r="G794" s="2" t="str">
        <f>IF(_xlfn.XLOOKUP(C794,customers!$A$1:$A$1001,customers!$C$1:$C$1001, ,0)=0,"",_xlfn.XLOOKUP(C794,customers!$A$1:$A$1001,customers!$C$1:$C$1001, ,0))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c r="Q794" s="5">
        <f>_xlfn.XLOOKUP(Orders[[#This Row],[Product ID]],products!$A$1:$A$49,products!$G$1:$G$49) *Orders[[#This Row],[Quantity]]</f>
        <v>6.8094000000000001</v>
      </c>
    </row>
    <row r="795" spans="1:17" x14ac:dyDescent="0.25">
      <c r="A795" s="2" t="s">
        <v>4973</v>
      </c>
      <c r="B795" s="3">
        <v>43629</v>
      </c>
      <c r="C795" s="2" t="s">
        <v>4974</v>
      </c>
      <c r="D795" t="s">
        <v>6178</v>
      </c>
      <c r="E795" s="2">
        <v>5</v>
      </c>
      <c r="F795" s="2" t="str">
        <f>_xlfn.XLOOKUP(C795,customers!$A$1:$A$1001,customers!$B$1:$B$1001,,0)</f>
        <v>Lukas Whittlesee</v>
      </c>
      <c r="G795" s="2" t="str">
        <f>IF(_xlfn.XLOOKUP(C795,customers!$A$1:$A$1001,customers!$C$1:$C$1001, ,0)=0,"",_xlfn.XLOOKUP(C795,customers!$A$1:$A$1001,customers!$C$1:$C$1001, ,0))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c r="Q795" s="5">
        <f>_xlfn.XLOOKUP(Orders[[#This Row],[Product ID]],products!$A$1:$A$49,products!$G$1:$G$49) *Orders[[#This Row],[Quantity]]</f>
        <v>1.0754999999999999</v>
      </c>
    </row>
    <row r="796" spans="1:17"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 ,0)=0,"",_xlfn.XLOOKUP(C796,customers!$A$1:$A$1001,customers!$C$1:$C$1001, ,0))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c r="Q796" s="5">
        <f>_xlfn.XLOOKUP(Orders[[#This Row],[Product ID]],products!$A$1:$A$49,products!$G$1:$G$49) *Orders[[#This Row],[Quantity]]</f>
        <v>13.403249999999998</v>
      </c>
    </row>
    <row r="797" spans="1:17" x14ac:dyDescent="0.25">
      <c r="A797" s="2" t="s">
        <v>4985</v>
      </c>
      <c r="B797" s="3">
        <v>43540</v>
      </c>
      <c r="C797" s="2" t="s">
        <v>4986</v>
      </c>
      <c r="D797" t="s">
        <v>6173</v>
      </c>
      <c r="E797" s="2">
        <v>4</v>
      </c>
      <c r="F797" s="2" t="str">
        <f>_xlfn.XLOOKUP(C797,customers!$A$1:$A$1001,customers!$B$1:$B$1001,,0)</f>
        <v>Wright Caldero</v>
      </c>
      <c r="G797" s="2" t="str">
        <f>IF(_xlfn.XLOOKUP(C797,customers!$A$1:$A$1001,customers!$C$1:$C$1001, ,0)=0,"",_xlfn.XLOOKUP(C797,customers!$A$1:$A$1001,customers!$C$1:$C$1001, ,0))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c r="Q797" s="5">
        <f>_xlfn.XLOOKUP(Orders[[#This Row],[Product ID]],products!$A$1:$A$49,products!$G$1:$G$49) *Orders[[#This Row],[Quantity]]</f>
        <v>1.7207999999999997</v>
      </c>
    </row>
    <row r="798" spans="1:17" x14ac:dyDescent="0.25">
      <c r="A798" s="2" t="s">
        <v>4991</v>
      </c>
      <c r="B798" s="3">
        <v>44533</v>
      </c>
      <c r="C798" s="2" t="s">
        <v>4992</v>
      </c>
      <c r="D798" t="s">
        <v>6161</v>
      </c>
      <c r="E798" s="2">
        <v>1</v>
      </c>
      <c r="F798" s="2" t="str">
        <f>_xlfn.XLOOKUP(C798,customers!$A$1:$A$1001,customers!$B$1:$B$1001,,0)</f>
        <v>Merell Zanazzi</v>
      </c>
      <c r="G798" s="2" t="str">
        <f>IF(_xlfn.XLOOKUP(C798,customers!$A$1:$A$1001,customers!$C$1:$C$1001, ,0)=0,"",_xlfn.XLOOKUP(C798,customers!$A$1:$A$1001,customers!$C$1:$C$1001, ,0))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c r="Q798" s="5">
        <f>_xlfn.XLOOKUP(Orders[[#This Row],[Product ID]],products!$A$1:$A$49,products!$G$1:$G$49) *Orders[[#This Row],[Quantity]]</f>
        <v>1.2363</v>
      </c>
    </row>
    <row r="799" spans="1:17" x14ac:dyDescent="0.25">
      <c r="A799" s="2" t="s">
        <v>4996</v>
      </c>
      <c r="B799" s="3">
        <v>44751</v>
      </c>
      <c r="C799" s="2" t="s">
        <v>4997</v>
      </c>
      <c r="D799" t="s">
        <v>6180</v>
      </c>
      <c r="E799" s="2">
        <v>4</v>
      </c>
      <c r="F799" s="2" t="str">
        <f>_xlfn.XLOOKUP(C799,customers!$A$1:$A$1001,customers!$B$1:$B$1001,,0)</f>
        <v>Jed Kennicott</v>
      </c>
      <c r="G799" s="2" t="str">
        <f>IF(_xlfn.XLOOKUP(C799,customers!$A$1:$A$1001,customers!$C$1:$C$1001, ,0)=0,"",_xlfn.XLOOKUP(C799,customers!$A$1:$A$1001,customers!$C$1:$C$1001, ,0))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c r="Q799" s="5">
        <f>_xlfn.XLOOKUP(Orders[[#This Row],[Product ID]],products!$A$1:$A$49,products!$G$1:$G$49) *Orders[[#This Row],[Quantity]]</f>
        <v>2.7971999999999997</v>
      </c>
    </row>
    <row r="800" spans="1:17" x14ac:dyDescent="0.25">
      <c r="A800" s="2" t="s">
        <v>5002</v>
      </c>
      <c r="B800" s="3">
        <v>43950</v>
      </c>
      <c r="C800" s="2" t="s">
        <v>5003</v>
      </c>
      <c r="D800" t="s">
        <v>6163</v>
      </c>
      <c r="E800" s="2">
        <v>3</v>
      </c>
      <c r="F800" s="2" t="str">
        <f>_xlfn.XLOOKUP(C800,customers!$A$1:$A$1001,customers!$B$1:$B$1001,,0)</f>
        <v>Guenevere Ruggen</v>
      </c>
      <c r="G800" s="2" t="str">
        <f>IF(_xlfn.XLOOKUP(C800,customers!$A$1:$A$1001,customers!$C$1:$C$1001, ,0)=0,"",_xlfn.XLOOKUP(C800,customers!$A$1:$A$1001,customers!$C$1:$C$1001, ,0))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c r="Q800" s="5">
        <f>_xlfn.XLOOKUP(Orders[[#This Row],[Product ID]],products!$A$1:$A$49,products!$G$1:$G$49) *Orders[[#This Row],[Quantity]]</f>
        <v>0.4832999999999999</v>
      </c>
    </row>
    <row r="801" spans="1:17" x14ac:dyDescent="0.25">
      <c r="A801" s="2" t="s">
        <v>5008</v>
      </c>
      <c r="B801" s="3">
        <v>44588</v>
      </c>
      <c r="C801" s="2" t="s">
        <v>5009</v>
      </c>
      <c r="D801" t="s">
        <v>6183</v>
      </c>
      <c r="E801" s="2">
        <v>3</v>
      </c>
      <c r="F801" s="2" t="str">
        <f>_xlfn.XLOOKUP(C801,customers!$A$1:$A$1001,customers!$B$1:$B$1001,,0)</f>
        <v>Gonzales Cicculi</v>
      </c>
      <c r="G801" s="2" t="str">
        <f>IF(_xlfn.XLOOKUP(C801,customers!$A$1:$A$1001,customers!$C$1:$C$1001, ,0)=0,"",_xlfn.XLOOKUP(C801,customers!$A$1:$A$1001,customers!$C$1:$C$1001, ,0))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c r="Q801" s="5">
        <f>_xlfn.XLOOKUP(Orders[[#This Row],[Product ID]],products!$A$1:$A$49,products!$G$1:$G$49) *Orders[[#This Row],[Quantity]]</f>
        <v>4.0095000000000001</v>
      </c>
    </row>
    <row r="802" spans="1:17" x14ac:dyDescent="0.25">
      <c r="A802" s="2" t="s">
        <v>5012</v>
      </c>
      <c r="B802" s="3">
        <v>44240</v>
      </c>
      <c r="C802" s="2" t="s">
        <v>5013</v>
      </c>
      <c r="D802" t="s">
        <v>6163</v>
      </c>
      <c r="E802" s="2">
        <v>6</v>
      </c>
      <c r="F802" s="2" t="str">
        <f>_xlfn.XLOOKUP(C802,customers!$A$1:$A$1001,customers!$B$1:$B$1001,,0)</f>
        <v>Man Fright</v>
      </c>
      <c r="G802" s="2" t="str">
        <f>IF(_xlfn.XLOOKUP(C802,customers!$A$1:$A$1001,customers!$C$1:$C$1001, ,0)=0,"",_xlfn.XLOOKUP(C802,customers!$A$1:$A$1001,customers!$C$1:$C$1001, ,0))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c r="Q802" s="5">
        <f>_xlfn.XLOOKUP(Orders[[#This Row],[Product ID]],products!$A$1:$A$49,products!$G$1:$G$49) *Orders[[#This Row],[Quantity]]</f>
        <v>0.96659999999999979</v>
      </c>
    </row>
    <row r="803" spans="1:17" x14ac:dyDescent="0.25">
      <c r="A803" s="2" t="s">
        <v>5018</v>
      </c>
      <c r="B803" s="3">
        <v>44025</v>
      </c>
      <c r="C803" s="2" t="s">
        <v>5019</v>
      </c>
      <c r="D803" t="s">
        <v>6149</v>
      </c>
      <c r="E803" s="2">
        <v>2</v>
      </c>
      <c r="F803" s="2" t="str">
        <f>_xlfn.XLOOKUP(C803,customers!$A$1:$A$1001,customers!$B$1:$B$1001,,0)</f>
        <v>Boyce Tarte</v>
      </c>
      <c r="G803" s="2" t="str">
        <f>IF(_xlfn.XLOOKUP(C803,customers!$A$1:$A$1001,customers!$C$1:$C$1001, ,0)=0,"",_xlfn.XLOOKUP(C803,customers!$A$1:$A$1001,customers!$C$1:$C$1001, ,0))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c r="Q803" s="5">
        <f>_xlfn.XLOOKUP(Orders[[#This Row],[Product ID]],products!$A$1:$A$49,products!$G$1:$G$49) *Orders[[#This Row],[Quantity]]</f>
        <v>2.4701999999999997</v>
      </c>
    </row>
    <row r="804" spans="1:17"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 ,0)=0,"",_xlfn.XLOOKUP(C804,customers!$A$1:$A$1001,customers!$C$1:$C$1001, ,0))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c r="Q804" s="5">
        <f>_xlfn.XLOOKUP(Orders[[#This Row],[Product ID]],products!$A$1:$A$49,products!$G$1:$G$49) *Orders[[#This Row],[Quantity]]</f>
        <v>0.64439999999999986</v>
      </c>
    </row>
    <row r="805" spans="1:17" x14ac:dyDescent="0.25">
      <c r="A805" s="2" t="s">
        <v>5030</v>
      </c>
      <c r="B805" s="3">
        <v>43955</v>
      </c>
      <c r="C805" s="2" t="s">
        <v>5031</v>
      </c>
      <c r="D805" t="s">
        <v>6166</v>
      </c>
      <c r="E805" s="2">
        <v>4</v>
      </c>
      <c r="F805" s="2" t="str">
        <f>_xlfn.XLOOKUP(C805,customers!$A$1:$A$1001,customers!$B$1:$B$1001,,0)</f>
        <v>Darn Penquet</v>
      </c>
      <c r="G805" s="2" t="str">
        <f>IF(_xlfn.XLOOKUP(C805,customers!$A$1:$A$1001,customers!$C$1:$C$1001, ,0)=0,"",_xlfn.XLOOKUP(C805,customers!$A$1:$A$1001,customers!$C$1:$C$1001, ,0))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c r="Q805" s="5">
        <f>_xlfn.XLOOKUP(Orders[[#This Row],[Product ID]],products!$A$1:$A$49,products!$G$1:$G$49) *Orders[[#This Row],[Quantity]]</f>
        <v>13.914999999999999</v>
      </c>
    </row>
    <row r="806" spans="1:17" x14ac:dyDescent="0.25">
      <c r="A806" s="2" t="s">
        <v>5035</v>
      </c>
      <c r="B806" s="3">
        <v>44289</v>
      </c>
      <c r="C806" s="2" t="s">
        <v>5036</v>
      </c>
      <c r="D806" t="s">
        <v>6179</v>
      </c>
      <c r="E806" s="2">
        <v>2</v>
      </c>
      <c r="F806" s="2" t="str">
        <f>_xlfn.XLOOKUP(C806,customers!$A$1:$A$1001,customers!$B$1:$B$1001,,0)</f>
        <v>Jammie Cloke</v>
      </c>
      <c r="G806" s="2" t="str">
        <f>IF(_xlfn.XLOOKUP(C806,customers!$A$1:$A$1001,customers!$C$1:$C$1001, ,0)=0,"",_xlfn.XLOOKUP(C806,customers!$A$1:$A$1001,customers!$C$1:$C$1001, ,0))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c r="Q806" s="5">
        <f>_xlfn.XLOOKUP(Orders[[#This Row],[Product ID]],products!$A$1:$A$49,products!$G$1:$G$49) *Orders[[#This Row],[Quantity]]</f>
        <v>1.4339999999999999</v>
      </c>
    </row>
    <row r="807" spans="1:17" x14ac:dyDescent="0.25">
      <c r="A807" s="2" t="s">
        <v>5040</v>
      </c>
      <c r="B807" s="3">
        <v>44713</v>
      </c>
      <c r="C807" s="2" t="s">
        <v>5041</v>
      </c>
      <c r="D807" t="s">
        <v>6146</v>
      </c>
      <c r="E807" s="2">
        <v>1</v>
      </c>
      <c r="F807" s="2" t="str">
        <f>_xlfn.XLOOKUP(C807,customers!$A$1:$A$1001,customers!$B$1:$B$1001,,0)</f>
        <v>Chester Clowton</v>
      </c>
      <c r="G807" s="2" t="str">
        <f>IF(_xlfn.XLOOKUP(C807,customers!$A$1:$A$1001,customers!$C$1:$C$1001, ,0)=0,"",_xlfn.XLOOKUP(C807,customers!$A$1:$A$1001,customers!$C$1:$C$1001, ,0))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c r="Q807" s="5">
        <f>_xlfn.XLOOKUP(Orders[[#This Row],[Product ID]],products!$A$1:$A$49,products!$G$1:$G$49) *Orders[[#This Row],[Quantity]]</f>
        <v>0.35819999999999996</v>
      </c>
    </row>
    <row r="808" spans="1:17" x14ac:dyDescent="0.25">
      <c r="A808" s="2" t="s">
        <v>5046</v>
      </c>
      <c r="B808" s="3">
        <v>44241</v>
      </c>
      <c r="C808" s="2" t="s">
        <v>5047</v>
      </c>
      <c r="D808" t="s">
        <v>6150</v>
      </c>
      <c r="E808" s="2">
        <v>2</v>
      </c>
      <c r="F808" s="2" t="str">
        <f>_xlfn.XLOOKUP(C808,customers!$A$1:$A$1001,customers!$B$1:$B$1001,,0)</f>
        <v>Kathleen Diable</v>
      </c>
      <c r="G808" s="2" t="str">
        <f>IF(_xlfn.XLOOKUP(C808,customers!$A$1:$A$1001,customers!$C$1:$C$1001, ,0)=0,"",_xlfn.XLOOKUP(C808,customers!$A$1:$A$1001,customers!$C$1:$C$1001, ,0))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c r="Q808" s="5">
        <f>_xlfn.XLOOKUP(Orders[[#This Row],[Product ID]],products!$A$1:$A$49,products!$G$1:$G$49) *Orders[[#This Row],[Quantity]]</f>
        <v>1.0101</v>
      </c>
    </row>
    <row r="809" spans="1:17" x14ac:dyDescent="0.25">
      <c r="A809" s="2" t="s">
        <v>5050</v>
      </c>
      <c r="B809" s="3">
        <v>44543</v>
      </c>
      <c r="C809" s="2" t="s">
        <v>5051</v>
      </c>
      <c r="D809" t="s">
        <v>6169</v>
      </c>
      <c r="E809" s="2">
        <v>3</v>
      </c>
      <c r="F809" s="2" t="str">
        <f>_xlfn.XLOOKUP(C809,customers!$A$1:$A$1001,customers!$B$1:$B$1001,,0)</f>
        <v>Koren Ferretti</v>
      </c>
      <c r="G809" s="2" t="str">
        <f>IF(_xlfn.XLOOKUP(C809,customers!$A$1:$A$1001,customers!$C$1:$C$1001, ,0)=0,"",_xlfn.XLOOKUP(C809,customers!$A$1:$A$1001,customers!$C$1:$C$1001, ,0))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c r="Q809" s="5">
        <f>_xlfn.XLOOKUP(Orders[[#This Row],[Product ID]],products!$A$1:$A$49,products!$G$1:$G$49) *Orders[[#This Row],[Quantity]]</f>
        <v>3.0303</v>
      </c>
    </row>
    <row r="810" spans="1:17" x14ac:dyDescent="0.25">
      <c r="A810" s="2" t="s">
        <v>5056</v>
      </c>
      <c r="B810" s="3">
        <v>43868</v>
      </c>
      <c r="C810" s="2" t="s">
        <v>5113</v>
      </c>
      <c r="D810" t="s">
        <v>6142</v>
      </c>
      <c r="E810" s="2">
        <v>5</v>
      </c>
      <c r="F810" s="2" t="str">
        <f>_xlfn.XLOOKUP(C810,customers!$A$1:$A$1001,customers!$B$1:$B$1001,,0)</f>
        <v>Allis Wilmore</v>
      </c>
      <c r="G810" s="2" t="str">
        <f>IF(_xlfn.XLOOKUP(C810,customers!$A$1:$A$1001,customers!$C$1:$C$1001, ,0)=0,"",_xlfn.XLOOKUP(C810,customers!$A$1:$A$1001,customers!$C$1:$C$1001, ,0))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c r="Q810" s="5">
        <f>_xlfn.XLOOKUP(Orders[[#This Row],[Product ID]],products!$A$1:$A$49,products!$G$1:$G$49) *Orders[[#This Row],[Quantity]]</f>
        <v>8.2454999999999998</v>
      </c>
    </row>
    <row r="811" spans="1:17" x14ac:dyDescent="0.25">
      <c r="A811" s="2" t="s">
        <v>5062</v>
      </c>
      <c r="B811" s="3">
        <v>44235</v>
      </c>
      <c r="C811" s="2" t="s">
        <v>5063</v>
      </c>
      <c r="D811" t="s">
        <v>6163</v>
      </c>
      <c r="E811" s="2">
        <v>3</v>
      </c>
      <c r="F811" s="2" t="str">
        <f>_xlfn.XLOOKUP(C811,customers!$A$1:$A$1001,customers!$B$1:$B$1001,,0)</f>
        <v>Chaddie Bennie</v>
      </c>
      <c r="G811" s="2" t="str">
        <f>IF(_xlfn.XLOOKUP(C811,customers!$A$1:$A$1001,customers!$C$1:$C$1001, ,0)=0,"",_xlfn.XLOOKUP(C811,customers!$A$1:$A$1001,customers!$C$1:$C$1001, ,0))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c r="Q811" s="5">
        <f>_xlfn.XLOOKUP(Orders[[#This Row],[Product ID]],products!$A$1:$A$49,products!$G$1:$G$49) *Orders[[#This Row],[Quantity]]</f>
        <v>0.4832999999999999</v>
      </c>
    </row>
    <row r="812" spans="1:17" x14ac:dyDescent="0.25">
      <c r="A812" s="2" t="s">
        <v>5067</v>
      </c>
      <c r="B812" s="3">
        <v>44054</v>
      </c>
      <c r="C812" s="2" t="s">
        <v>5068</v>
      </c>
      <c r="D812" t="s">
        <v>6161</v>
      </c>
      <c r="E812" s="2">
        <v>3</v>
      </c>
      <c r="F812" s="2" t="str">
        <f>_xlfn.XLOOKUP(C812,customers!$A$1:$A$1001,customers!$B$1:$B$1001,,0)</f>
        <v>Alberta Balsdone</v>
      </c>
      <c r="G812" s="2" t="str">
        <f>IF(_xlfn.XLOOKUP(C812,customers!$A$1:$A$1001,customers!$C$1:$C$1001, ,0)=0,"",_xlfn.XLOOKUP(C812,customers!$A$1:$A$1001,customers!$C$1:$C$1001, ,0))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c r="Q812" s="5">
        <f>_xlfn.XLOOKUP(Orders[[#This Row],[Product ID]],products!$A$1:$A$49,products!$G$1:$G$49) *Orders[[#This Row],[Quantity]]</f>
        <v>3.7088999999999999</v>
      </c>
    </row>
    <row r="813" spans="1:17" x14ac:dyDescent="0.25">
      <c r="A813" s="2" t="s">
        <v>5073</v>
      </c>
      <c r="B813" s="3">
        <v>44114</v>
      </c>
      <c r="C813" s="2" t="s">
        <v>5074</v>
      </c>
      <c r="D813" t="s">
        <v>6155</v>
      </c>
      <c r="E813" s="2">
        <v>6</v>
      </c>
      <c r="F813" s="2" t="str">
        <f>_xlfn.XLOOKUP(C813,customers!$A$1:$A$1001,customers!$B$1:$B$1001,,0)</f>
        <v>Brice Romera</v>
      </c>
      <c r="G813" s="2" t="str">
        <f>IF(_xlfn.XLOOKUP(C813,customers!$A$1:$A$1001,customers!$C$1:$C$1001, ,0)=0,"",_xlfn.XLOOKUP(C813,customers!$A$1:$A$1001,customers!$C$1:$C$1001, ,0))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c r="Q813" s="5">
        <f>_xlfn.XLOOKUP(Orders[[#This Row],[Product ID]],products!$A$1:$A$49,products!$G$1:$G$49) *Orders[[#This Row],[Quantity]]</f>
        <v>6.0749999999999993</v>
      </c>
    </row>
    <row r="814" spans="1:17" x14ac:dyDescent="0.25">
      <c r="A814" s="2" t="s">
        <v>5073</v>
      </c>
      <c r="B814" s="3">
        <v>44114</v>
      </c>
      <c r="C814" s="2" t="s">
        <v>5074</v>
      </c>
      <c r="D814" t="s">
        <v>6165</v>
      </c>
      <c r="E814" s="2">
        <v>6</v>
      </c>
      <c r="F814" s="2" t="str">
        <f>_xlfn.XLOOKUP(C814,customers!$A$1:$A$1001,customers!$B$1:$B$1001,,0)</f>
        <v>Brice Romera</v>
      </c>
      <c r="G814" s="2" t="str">
        <f>IF(_xlfn.XLOOKUP(C814,customers!$A$1:$A$1001,customers!$C$1:$C$1001, ,0)=0,"",_xlfn.XLOOKUP(C814,customers!$A$1:$A$1001,customers!$C$1:$C$1001, ,0))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c r="Q814" s="5">
        <f>_xlfn.XLOOKUP(Orders[[#This Row],[Product ID]],products!$A$1:$A$49,products!$G$1:$G$49) *Orders[[#This Row],[Quantity]]</f>
        <v>23.232299999999999</v>
      </c>
    </row>
    <row r="815" spans="1:17" x14ac:dyDescent="0.25">
      <c r="A815" s="2" t="s">
        <v>5084</v>
      </c>
      <c r="B815" s="3">
        <v>44173</v>
      </c>
      <c r="C815" s="2" t="s">
        <v>5085</v>
      </c>
      <c r="D815" t="s">
        <v>6166</v>
      </c>
      <c r="E815" s="2">
        <v>1</v>
      </c>
      <c r="F815" s="2" t="str">
        <f>_xlfn.XLOOKUP(C815,customers!$A$1:$A$1001,customers!$B$1:$B$1001,,0)</f>
        <v>Conchita Bryde</v>
      </c>
      <c r="G815" s="2" t="str">
        <f>IF(_xlfn.XLOOKUP(C815,customers!$A$1:$A$1001,customers!$C$1:$C$1001, ,0)=0,"",_xlfn.XLOOKUP(C815,customers!$A$1:$A$1001,customers!$C$1:$C$1001, ,0))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c r="Q815" s="5">
        <f>_xlfn.XLOOKUP(Orders[[#This Row],[Product ID]],products!$A$1:$A$49,products!$G$1:$G$49) *Orders[[#This Row],[Quantity]]</f>
        <v>3.4787499999999998</v>
      </c>
    </row>
    <row r="816" spans="1:17" x14ac:dyDescent="0.25">
      <c r="A816" s="2" t="s">
        <v>5090</v>
      </c>
      <c r="B816" s="3">
        <v>43573</v>
      </c>
      <c r="C816" s="2" t="s">
        <v>5091</v>
      </c>
      <c r="D816" t="s">
        <v>6184</v>
      </c>
      <c r="E816" s="2">
        <v>2</v>
      </c>
      <c r="F816" s="2" t="str">
        <f>_xlfn.XLOOKUP(C816,customers!$A$1:$A$1001,customers!$B$1:$B$1001,,0)</f>
        <v>Silvanus Enefer</v>
      </c>
      <c r="G816" s="2" t="str">
        <f>IF(_xlfn.XLOOKUP(C816,customers!$A$1:$A$1001,customers!$C$1:$C$1001, ,0)=0,"",_xlfn.XLOOKUP(C816,customers!$A$1:$A$1001,customers!$C$1:$C$1001, ,0))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c r="Q816" s="5">
        <f>_xlfn.XLOOKUP(Orders[[#This Row],[Product ID]],products!$A$1:$A$49,products!$G$1:$G$49) *Orders[[#This Row],[Quantity]]</f>
        <v>0.98009999999999997</v>
      </c>
    </row>
    <row r="817" spans="1:17"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 ,0)=0,"",_xlfn.XLOOKUP(C817,customers!$A$1:$A$1001,customers!$C$1:$C$1001, ,0))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c r="Q817" s="5">
        <f>_xlfn.XLOOKUP(Orders[[#This Row],[Product ID]],products!$A$1:$A$49,products!$G$1:$G$49) *Orders[[#This Row],[Quantity]]</f>
        <v>2.1491999999999996</v>
      </c>
    </row>
    <row r="818" spans="1:17" x14ac:dyDescent="0.25">
      <c r="A818" s="2" t="s">
        <v>5102</v>
      </c>
      <c r="B818" s="3">
        <v>43534</v>
      </c>
      <c r="C818" s="2" t="s">
        <v>5103</v>
      </c>
      <c r="D818" t="s">
        <v>6161</v>
      </c>
      <c r="E818" s="2">
        <v>4</v>
      </c>
      <c r="F818" s="2" t="str">
        <f>_xlfn.XLOOKUP(C818,customers!$A$1:$A$1001,customers!$B$1:$B$1001,,0)</f>
        <v>Marvin Gundry</v>
      </c>
      <c r="G818" s="2" t="str">
        <f>IF(_xlfn.XLOOKUP(C818,customers!$A$1:$A$1001,customers!$C$1:$C$1001, ,0)=0,"",_xlfn.XLOOKUP(C818,customers!$A$1:$A$1001,customers!$C$1:$C$1001, ,0))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c r="Q818" s="5">
        <f>_xlfn.XLOOKUP(Orders[[#This Row],[Product ID]],products!$A$1:$A$49,products!$G$1:$G$49) *Orders[[#This Row],[Quantity]]</f>
        <v>4.9451999999999998</v>
      </c>
    </row>
    <row r="819" spans="1:17" x14ac:dyDescent="0.25">
      <c r="A819" s="2" t="s">
        <v>5107</v>
      </c>
      <c r="B819" s="3">
        <v>43798</v>
      </c>
      <c r="C819" s="2" t="s">
        <v>5108</v>
      </c>
      <c r="D819" t="s">
        <v>6169</v>
      </c>
      <c r="E819" s="2">
        <v>2</v>
      </c>
      <c r="F819" s="2" t="str">
        <f>_xlfn.XLOOKUP(C819,customers!$A$1:$A$1001,customers!$B$1:$B$1001,,0)</f>
        <v>Bayard Wellan</v>
      </c>
      <c r="G819" s="2" t="str">
        <f>IF(_xlfn.XLOOKUP(C819,customers!$A$1:$A$1001,customers!$C$1:$C$1001, ,0)=0,"",_xlfn.XLOOKUP(C819,customers!$A$1:$A$1001,customers!$C$1:$C$1001, ,0))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c r="Q819" s="5">
        <f>_xlfn.XLOOKUP(Orders[[#This Row],[Product ID]],products!$A$1:$A$49,products!$G$1:$G$49) *Orders[[#This Row],[Quantity]]</f>
        <v>2.0202</v>
      </c>
    </row>
    <row r="820" spans="1:17" x14ac:dyDescent="0.25">
      <c r="A820" s="2" t="s">
        <v>5112</v>
      </c>
      <c r="B820" s="3">
        <v>44761</v>
      </c>
      <c r="C820" s="2" t="s">
        <v>5113</v>
      </c>
      <c r="D820" t="s">
        <v>6170</v>
      </c>
      <c r="E820" s="2">
        <v>5</v>
      </c>
      <c r="F820" s="2" t="str">
        <f>_xlfn.XLOOKUP(C820,customers!$A$1:$A$1001,customers!$B$1:$B$1001,,0)</f>
        <v>Allis Wilmore</v>
      </c>
      <c r="G820" s="2" t="str">
        <f>IF(_xlfn.XLOOKUP(C820,customers!$A$1:$A$1001,customers!$C$1:$C$1001, ,0)=0,"",_xlfn.XLOOKUP(C820,customers!$A$1:$A$1001,customers!$C$1:$C$1001, ,0))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c r="Q820" s="5">
        <f>_xlfn.XLOOKUP(Orders[[#This Row],[Product ID]],products!$A$1:$A$49,products!$G$1:$G$49) *Orders[[#This Row],[Quantity]]</f>
        <v>10.302500000000002</v>
      </c>
    </row>
    <row r="821" spans="1:17" x14ac:dyDescent="0.25">
      <c r="A821" s="2" t="s">
        <v>5117</v>
      </c>
      <c r="B821" s="3">
        <v>44008</v>
      </c>
      <c r="C821" s="2" t="s">
        <v>5118</v>
      </c>
      <c r="D821" t="s">
        <v>6145</v>
      </c>
      <c r="E821" s="2">
        <v>1</v>
      </c>
      <c r="F821" s="2" t="str">
        <f>_xlfn.XLOOKUP(C821,customers!$A$1:$A$1001,customers!$B$1:$B$1001,,0)</f>
        <v>Caddric Atcheson</v>
      </c>
      <c r="G821" s="2" t="str">
        <f>IF(_xlfn.XLOOKUP(C821,customers!$A$1:$A$1001,customers!$C$1:$C$1001, ,0)=0,"",_xlfn.XLOOKUP(C821,customers!$A$1:$A$1001,customers!$C$1:$C$1001, ,0))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c r="Q821" s="5">
        <f>_xlfn.XLOOKUP(Orders[[#This Row],[Product ID]],products!$A$1:$A$49,products!$G$1:$G$49) *Orders[[#This Row],[Quantity]]</f>
        <v>0.61814999999999998</v>
      </c>
    </row>
    <row r="822" spans="1:17" x14ac:dyDescent="0.25">
      <c r="A822" s="2" t="s">
        <v>5123</v>
      </c>
      <c r="B822" s="3">
        <v>43510</v>
      </c>
      <c r="C822" s="2" t="s">
        <v>5124</v>
      </c>
      <c r="D822" t="s">
        <v>6141</v>
      </c>
      <c r="E822" s="2">
        <v>4</v>
      </c>
      <c r="F822" s="2" t="str">
        <f>_xlfn.XLOOKUP(C822,customers!$A$1:$A$1001,customers!$B$1:$B$1001,,0)</f>
        <v>Eustace Stenton</v>
      </c>
      <c r="G822" s="2" t="str">
        <f>IF(_xlfn.XLOOKUP(C822,customers!$A$1:$A$1001,customers!$C$1:$C$1001, ,0)=0,"",_xlfn.XLOOKUP(C822,customers!$A$1:$A$1001,customers!$C$1:$C$1001, ,0))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c r="Q822" s="5">
        <f>_xlfn.XLOOKUP(Orders[[#This Row],[Product ID]],products!$A$1:$A$49,products!$G$1:$G$49) *Orders[[#This Row],[Quantity]]</f>
        <v>6.05</v>
      </c>
    </row>
    <row r="823" spans="1:17" x14ac:dyDescent="0.25">
      <c r="A823" s="2" t="s">
        <v>5129</v>
      </c>
      <c r="B823" s="3">
        <v>44144</v>
      </c>
      <c r="C823" s="2" t="s">
        <v>5130</v>
      </c>
      <c r="D823" t="s">
        <v>6172</v>
      </c>
      <c r="E823" s="2">
        <v>5</v>
      </c>
      <c r="F823" s="2" t="str">
        <f>_xlfn.XLOOKUP(C823,customers!$A$1:$A$1001,customers!$B$1:$B$1001,,0)</f>
        <v>Ericka Tripp</v>
      </c>
      <c r="G823" s="2" t="str">
        <f>IF(_xlfn.XLOOKUP(C823,customers!$A$1:$A$1001,customers!$C$1:$C$1001, ,0)=0,"",_xlfn.XLOOKUP(C823,customers!$A$1:$A$1001,customers!$C$1:$C$1001, ,0))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c r="Q823" s="5">
        <f>_xlfn.XLOOKUP(Orders[[#This Row],[Product ID]],products!$A$1:$A$49,products!$G$1:$G$49) *Orders[[#This Row],[Quantity]]</f>
        <v>1.6109999999999998</v>
      </c>
    </row>
    <row r="824" spans="1:17" x14ac:dyDescent="0.25">
      <c r="A824" s="2" t="s">
        <v>5135</v>
      </c>
      <c r="B824" s="3">
        <v>43585</v>
      </c>
      <c r="C824" s="2" t="s">
        <v>5136</v>
      </c>
      <c r="D824" t="s">
        <v>6148</v>
      </c>
      <c r="E824" s="2">
        <v>4</v>
      </c>
      <c r="F824" s="2" t="str">
        <f>_xlfn.XLOOKUP(C824,customers!$A$1:$A$1001,customers!$B$1:$B$1001,,0)</f>
        <v>Lyndsey MacManus</v>
      </c>
      <c r="G824" s="2" t="str">
        <f>IF(_xlfn.XLOOKUP(C824,customers!$A$1:$A$1001,customers!$C$1:$C$1001, ,0)=0,"",_xlfn.XLOOKUP(C824,customers!$A$1:$A$1001,customers!$C$1:$C$1001, ,0))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c r="Q824" s="5">
        <f>_xlfn.XLOOKUP(Orders[[#This Row],[Product ID]],products!$A$1:$A$49,products!$G$1:$G$49) *Orders[[#This Row],[Quantity]]</f>
        <v>15.028199999999998</v>
      </c>
    </row>
    <row r="825" spans="1:17"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 ,0)=0,"",_xlfn.XLOOKUP(C825,customers!$A$1:$A$1001,customers!$C$1:$C$1001, ,0))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c r="Q825" s="5">
        <f>_xlfn.XLOOKUP(Orders[[#This Row],[Product ID]],products!$A$1:$A$49,products!$G$1:$G$49) *Orders[[#This Row],[Quantity]]</f>
        <v>6.1815000000000007</v>
      </c>
    </row>
    <row r="826" spans="1:17" x14ac:dyDescent="0.25">
      <c r="A826" s="2" t="s">
        <v>5147</v>
      </c>
      <c r="B826" s="3">
        <v>43781</v>
      </c>
      <c r="C826" s="2" t="s">
        <v>5148</v>
      </c>
      <c r="D826" t="s">
        <v>6152</v>
      </c>
      <c r="E826" s="2">
        <v>5</v>
      </c>
      <c r="F826" s="2" t="str">
        <f>_xlfn.XLOOKUP(C826,customers!$A$1:$A$1001,customers!$B$1:$B$1001,,0)</f>
        <v>Correy Bourner</v>
      </c>
      <c r="G826" s="2" t="str">
        <f>IF(_xlfn.XLOOKUP(C826,customers!$A$1:$A$1001,customers!$C$1:$C$1001, ,0)=0,"",_xlfn.XLOOKUP(C826,customers!$A$1:$A$1001,customers!$C$1:$C$1001, ,0))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c r="Q826" s="5">
        <f>_xlfn.XLOOKUP(Orders[[#This Row],[Product ID]],products!$A$1:$A$49,products!$G$1:$G$49) *Orders[[#This Row],[Quantity]]</f>
        <v>1.5187499999999998</v>
      </c>
    </row>
    <row r="827" spans="1:17" x14ac:dyDescent="0.25">
      <c r="A827" s="2" t="s">
        <v>5152</v>
      </c>
      <c r="B827" s="3">
        <v>44603</v>
      </c>
      <c r="C827" s="2" t="s">
        <v>5188</v>
      </c>
      <c r="D827" t="s">
        <v>6147</v>
      </c>
      <c r="E827" s="2">
        <v>3</v>
      </c>
      <c r="F827" s="2" t="str">
        <f>_xlfn.XLOOKUP(C827,customers!$A$1:$A$1001,customers!$B$1:$B$1001,,0)</f>
        <v>Odelia Skerme</v>
      </c>
      <c r="G827" s="2" t="str">
        <f>IF(_xlfn.XLOOKUP(C827,customers!$A$1:$A$1001,customers!$C$1:$C$1001, ,0)=0,"",_xlfn.XLOOKUP(C827,customers!$A$1:$A$1001,customers!$C$1:$C$1001, ,0))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c r="Q827" s="5">
        <f>_xlfn.XLOOKUP(Orders[[#This Row],[Product ID]],products!$A$1:$A$49,products!$G$1:$G$49) *Orders[[#This Row],[Quantity]]</f>
        <v>2.6864999999999997</v>
      </c>
    </row>
    <row r="828" spans="1:17" x14ac:dyDescent="0.25">
      <c r="A828" s="2" t="s">
        <v>5158</v>
      </c>
      <c r="B828" s="3">
        <v>44283</v>
      </c>
      <c r="C828" s="2" t="s">
        <v>5159</v>
      </c>
      <c r="D828" t="s">
        <v>6139</v>
      </c>
      <c r="E828" s="2">
        <v>5</v>
      </c>
      <c r="F828" s="2" t="str">
        <f>_xlfn.XLOOKUP(C828,customers!$A$1:$A$1001,customers!$B$1:$B$1001,,0)</f>
        <v>Kandy Heddan</v>
      </c>
      <c r="G828" s="2" t="str">
        <f>IF(_xlfn.XLOOKUP(C828,customers!$A$1:$A$1001,customers!$C$1:$C$1001, ,0)=0,"",_xlfn.XLOOKUP(C828,customers!$A$1:$A$1001,customers!$C$1:$C$1001, ,0))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c r="Q828" s="5">
        <f>_xlfn.XLOOKUP(Orders[[#This Row],[Product ID]],products!$A$1:$A$49,products!$G$1:$G$49) *Orders[[#This Row],[Quantity]]</f>
        <v>4.5374999999999996</v>
      </c>
    </row>
    <row r="829" spans="1:17" x14ac:dyDescent="0.25">
      <c r="A829" s="2" t="s">
        <v>5164</v>
      </c>
      <c r="B829" s="3">
        <v>44540</v>
      </c>
      <c r="C829" s="2" t="s">
        <v>5165</v>
      </c>
      <c r="D829" t="s">
        <v>6156</v>
      </c>
      <c r="E829" s="2">
        <v>5</v>
      </c>
      <c r="F829" s="2" t="str">
        <f>_xlfn.XLOOKUP(C829,customers!$A$1:$A$1001,customers!$B$1:$B$1001,,0)</f>
        <v>Ibby Charters</v>
      </c>
      <c r="G829" s="2" t="str">
        <f>IF(_xlfn.XLOOKUP(C829,customers!$A$1:$A$1001,customers!$C$1:$C$1001, ,0)=0,"",_xlfn.XLOOKUP(C829,customers!$A$1:$A$1001,customers!$C$1:$C$1001, ,0))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c r="Q829" s="5">
        <f>_xlfn.XLOOKUP(Orders[[#This Row],[Product ID]],products!$A$1:$A$49,products!$G$1:$G$49) *Orders[[#This Row],[Quantity]]</f>
        <v>2.2687499999999998</v>
      </c>
    </row>
    <row r="830" spans="1:17" x14ac:dyDescent="0.25">
      <c r="A830" s="2" t="s">
        <v>5170</v>
      </c>
      <c r="B830" s="3">
        <v>44505</v>
      </c>
      <c r="C830" s="2" t="s">
        <v>5171</v>
      </c>
      <c r="D830" t="s">
        <v>6168</v>
      </c>
      <c r="E830" s="2">
        <v>6</v>
      </c>
      <c r="F830" s="2" t="str">
        <f>_xlfn.XLOOKUP(C830,customers!$A$1:$A$1001,customers!$B$1:$B$1001,,0)</f>
        <v>Adora Roubert</v>
      </c>
      <c r="G830" s="2" t="str">
        <f>IF(_xlfn.XLOOKUP(C830,customers!$A$1:$A$1001,customers!$C$1:$C$1001, ,0)=0,"",_xlfn.XLOOKUP(C830,customers!$A$1:$A$1001,customers!$C$1:$C$1001, ,0))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c r="Q830" s="5">
        <f>_xlfn.XLOOKUP(Orders[[#This Row],[Product ID]],products!$A$1:$A$49,products!$G$1:$G$49) *Orders[[#This Row],[Quantity]]</f>
        <v>12.357899999999997</v>
      </c>
    </row>
    <row r="831" spans="1:17" x14ac:dyDescent="0.25">
      <c r="A831" s="2" t="s">
        <v>5176</v>
      </c>
      <c r="B831" s="3">
        <v>43890</v>
      </c>
      <c r="C831" s="2" t="s">
        <v>5177</v>
      </c>
      <c r="D831" t="s">
        <v>6154</v>
      </c>
      <c r="E831" s="2">
        <v>1</v>
      </c>
      <c r="F831" s="2" t="str">
        <f>_xlfn.XLOOKUP(C831,customers!$A$1:$A$1001,customers!$B$1:$B$1001,,0)</f>
        <v>Hillel Mairs</v>
      </c>
      <c r="G831" s="2" t="str">
        <f>IF(_xlfn.XLOOKUP(C831,customers!$A$1:$A$1001,customers!$C$1:$C$1001, ,0)=0,"",_xlfn.XLOOKUP(C831,customers!$A$1:$A$1001,customers!$C$1:$C$1001, ,0))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c r="Q831" s="5">
        <f>_xlfn.XLOOKUP(Orders[[#This Row],[Product ID]],products!$A$1:$A$49,products!$G$1:$G$49) *Orders[[#This Row],[Quantity]]</f>
        <v>0.26865</v>
      </c>
    </row>
    <row r="832" spans="1:17"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 ,0)=0,"",_xlfn.XLOOKUP(C832,customers!$A$1:$A$1001,customers!$C$1:$C$1001, ,0))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c r="Q832" s="5">
        <f>_xlfn.XLOOKUP(Orders[[#This Row],[Product ID]],products!$A$1:$A$49,products!$G$1:$G$49) *Orders[[#This Row],[Quantity]]</f>
        <v>3.0249999999999999</v>
      </c>
    </row>
    <row r="833" spans="1:17"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 ,0)=0,"",_xlfn.XLOOKUP(C833,customers!$A$1:$A$1001,customers!$C$1:$C$1001, ,0))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c r="Q833" s="5">
        <f>_xlfn.XLOOKUP(Orders[[#This Row],[Product ID]],products!$A$1:$A$49,products!$G$1:$G$49) *Orders[[#This Row],[Quantity]]</f>
        <v>0.5373</v>
      </c>
    </row>
    <row r="834" spans="1:17" x14ac:dyDescent="0.25">
      <c r="A834" s="2" t="s">
        <v>5193</v>
      </c>
      <c r="B834" s="3">
        <v>44274</v>
      </c>
      <c r="C834" s="2" t="s">
        <v>5194</v>
      </c>
      <c r="D834" t="s">
        <v>6138</v>
      </c>
      <c r="E834" s="2">
        <v>6</v>
      </c>
      <c r="F834" s="2" t="str">
        <f>_xlfn.XLOOKUP(C834,customers!$A$1:$A$1001,customers!$B$1:$B$1001,,0)</f>
        <v>Isac Jesper</v>
      </c>
      <c r="G834" s="2" t="str">
        <f>IF(_xlfn.XLOOKUP(C834,customers!$A$1:$A$1001,customers!$C$1:$C$1001, ,0)=0,"",_xlfn.XLOOKUP(C834,customers!$A$1:$A$1001,customers!$C$1:$C$1001, ,0))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c r="Q834" s="5">
        <f>_xlfn.XLOOKUP(Orders[[#This Row],[Product ID]],products!$A$1:$A$49,products!$G$1:$G$49) *Orders[[#This Row],[Quantity]]</f>
        <v>3.5819999999999999</v>
      </c>
    </row>
    <row r="835" spans="1:17"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 ,0)=0,"",_xlfn.XLOOKUP(C835,customers!$A$1:$A$1001,customers!$C$1:$C$1001, ,0))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 = "Lib","Liberica"))))</f>
        <v>Robusta</v>
      </c>
      <c r="O835" t="str">
        <f t="shared" ref="O835:O898" si="41">IF(J835="L","Light",IF(J835="M","Medium",IF(J835="D","Dark")))</f>
        <v>Dark</v>
      </c>
      <c r="P835" t="str">
        <f>_xlfn.XLOOKUP(Orders[[#This Row],[Customer ID]],customers!$A$1:$A$1001,customers!$I$1:$I$1001,,0)</f>
        <v>Yes</v>
      </c>
      <c r="Q835" s="5">
        <f>_xlfn.XLOOKUP(Orders[[#This Row],[Product ID]],products!$A$1:$A$49,products!$G$1:$G$49) *Orders[[#This Row],[Quantity]]</f>
        <v>4.9403999999999995</v>
      </c>
    </row>
    <row r="836" spans="1:17" x14ac:dyDescent="0.25">
      <c r="A836" s="2" t="s">
        <v>5205</v>
      </c>
      <c r="B836" s="3">
        <v>44141</v>
      </c>
      <c r="C836" s="2" t="s">
        <v>5206</v>
      </c>
      <c r="D836" t="s">
        <v>6168</v>
      </c>
      <c r="E836" s="2">
        <v>1</v>
      </c>
      <c r="F836" s="2" t="str">
        <f>_xlfn.XLOOKUP(C836,customers!$A$1:$A$1001,customers!$B$1:$B$1001,,0)</f>
        <v>Nadeen Broomer</v>
      </c>
      <c r="G836" s="2" t="str">
        <f>IF(_xlfn.XLOOKUP(C836,customers!$A$1:$A$1001,customers!$C$1:$C$1001, ,0)=0,"",_xlfn.XLOOKUP(C836,customers!$A$1:$A$1001,customers!$C$1:$C$1001, ,0))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c r="Q836" s="5">
        <f>_xlfn.XLOOKUP(Orders[[#This Row],[Product ID]],products!$A$1:$A$49,products!$G$1:$G$49) *Orders[[#This Row],[Quantity]]</f>
        <v>2.0596499999999995</v>
      </c>
    </row>
    <row r="837" spans="1:17"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 ,0)=0,"",_xlfn.XLOOKUP(C837,customers!$A$1:$A$1001,customers!$C$1:$C$1001, ,0))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c r="Q837" s="5">
        <f>_xlfn.XLOOKUP(Orders[[#This Row],[Product ID]],products!$A$1:$A$49,products!$G$1:$G$49) *Orders[[#This Row],[Quantity]]</f>
        <v>0.98009999999999997</v>
      </c>
    </row>
    <row r="838" spans="1:17" x14ac:dyDescent="0.25">
      <c r="A838" s="2" t="s">
        <v>5216</v>
      </c>
      <c r="B838" s="3">
        <v>44486</v>
      </c>
      <c r="C838" s="2" t="s">
        <v>5217</v>
      </c>
      <c r="D838" t="s">
        <v>6154</v>
      </c>
      <c r="E838" s="2">
        <v>4</v>
      </c>
      <c r="F838" s="2" t="str">
        <f>_xlfn.XLOOKUP(C838,customers!$A$1:$A$1001,customers!$B$1:$B$1001,,0)</f>
        <v>Frans Habbergham</v>
      </c>
      <c r="G838" s="2" t="str">
        <f>IF(_xlfn.XLOOKUP(C838,customers!$A$1:$A$1001,customers!$C$1:$C$1001, ,0)=0,"",_xlfn.XLOOKUP(C838,customers!$A$1:$A$1001,customers!$C$1:$C$1001, ,0))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c r="Q838" s="5">
        <f>_xlfn.XLOOKUP(Orders[[#This Row],[Product ID]],products!$A$1:$A$49,products!$G$1:$G$49) *Orders[[#This Row],[Quantity]]</f>
        <v>1.0746</v>
      </c>
    </row>
    <row r="839" spans="1:17" x14ac:dyDescent="0.25">
      <c r="A839" s="2" t="s">
        <v>5222</v>
      </c>
      <c r="B839" s="3">
        <v>43715</v>
      </c>
      <c r="C839" s="2" t="s">
        <v>5113</v>
      </c>
      <c r="D839" t="s">
        <v>6181</v>
      </c>
      <c r="E839" s="2">
        <v>3</v>
      </c>
      <c r="F839" s="2" t="str">
        <f>_xlfn.XLOOKUP(C839,customers!$A$1:$A$1001,customers!$B$1:$B$1001,,0)</f>
        <v>Allis Wilmore</v>
      </c>
      <c r="G839" s="2" t="str">
        <f>IF(_xlfn.XLOOKUP(C839,customers!$A$1:$A$1001,customers!$C$1:$C$1001, ,0)=0,"",_xlfn.XLOOKUP(C839,customers!$A$1:$A$1001,customers!$C$1:$C$1001, ,0))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c r="Q839" s="5">
        <f>_xlfn.XLOOKUP(Orders[[#This Row],[Product ID]],products!$A$1:$A$49,products!$G$1:$G$49) *Orders[[#This Row],[Quantity]]</f>
        <v>13.051349999999999</v>
      </c>
    </row>
    <row r="840" spans="1:17" x14ac:dyDescent="0.25">
      <c r="A840" s="2" t="s">
        <v>5228</v>
      </c>
      <c r="B840" s="3">
        <v>44755</v>
      </c>
      <c r="C840" s="2" t="s">
        <v>5229</v>
      </c>
      <c r="D840" t="s">
        <v>6168</v>
      </c>
      <c r="E840" s="2">
        <v>5</v>
      </c>
      <c r="F840" s="2" t="str">
        <f>_xlfn.XLOOKUP(C840,customers!$A$1:$A$1001,customers!$B$1:$B$1001,,0)</f>
        <v>Romain Avrashin</v>
      </c>
      <c r="G840" s="2" t="str">
        <f>IF(_xlfn.XLOOKUP(C840,customers!$A$1:$A$1001,customers!$C$1:$C$1001, ,0)=0,"",_xlfn.XLOOKUP(C840,customers!$A$1:$A$1001,customers!$C$1:$C$1001, ,0))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c r="Q840" s="5">
        <f>_xlfn.XLOOKUP(Orders[[#This Row],[Product ID]],products!$A$1:$A$49,products!$G$1:$G$49) *Orders[[#This Row],[Quantity]]</f>
        <v>10.298249999999998</v>
      </c>
    </row>
    <row r="841" spans="1:17" x14ac:dyDescent="0.25">
      <c r="A841" s="2" t="s">
        <v>5234</v>
      </c>
      <c r="B841" s="3">
        <v>44521</v>
      </c>
      <c r="C841" s="2" t="s">
        <v>5235</v>
      </c>
      <c r="D841" t="s">
        <v>6139</v>
      </c>
      <c r="E841" s="2">
        <v>5</v>
      </c>
      <c r="F841" s="2" t="str">
        <f>_xlfn.XLOOKUP(C841,customers!$A$1:$A$1001,customers!$B$1:$B$1001,,0)</f>
        <v>Miran Doidge</v>
      </c>
      <c r="G841" s="2" t="str">
        <f>IF(_xlfn.XLOOKUP(C841,customers!$A$1:$A$1001,customers!$C$1:$C$1001, ,0)=0,"",_xlfn.XLOOKUP(C841,customers!$A$1:$A$1001,customers!$C$1:$C$1001, ,0))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c r="Q841" s="5">
        <f>_xlfn.XLOOKUP(Orders[[#This Row],[Product ID]],products!$A$1:$A$49,products!$G$1:$G$49) *Orders[[#This Row],[Quantity]]</f>
        <v>4.5374999999999996</v>
      </c>
    </row>
    <row r="842" spans="1:17" x14ac:dyDescent="0.25">
      <c r="A842" s="2" t="s">
        <v>5240</v>
      </c>
      <c r="B842" s="3">
        <v>44574</v>
      </c>
      <c r="C842" s="2" t="s">
        <v>5241</v>
      </c>
      <c r="D842" t="s">
        <v>6173</v>
      </c>
      <c r="E842" s="2">
        <v>4</v>
      </c>
      <c r="F842" s="2" t="str">
        <f>_xlfn.XLOOKUP(C842,customers!$A$1:$A$1001,customers!$B$1:$B$1001,,0)</f>
        <v>Janeva Edinboro</v>
      </c>
      <c r="G842" s="2" t="str">
        <f>IF(_xlfn.XLOOKUP(C842,customers!$A$1:$A$1001,customers!$C$1:$C$1001, ,0)=0,"",_xlfn.XLOOKUP(C842,customers!$A$1:$A$1001,customers!$C$1:$C$1001, ,0))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c r="Q842" s="5">
        <f>_xlfn.XLOOKUP(Orders[[#This Row],[Product ID]],products!$A$1:$A$49,products!$G$1:$G$49) *Orders[[#This Row],[Quantity]]</f>
        <v>1.7207999999999997</v>
      </c>
    </row>
    <row r="843" spans="1:17"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 ,0)=0,"",_xlfn.XLOOKUP(C843,customers!$A$1:$A$1001,customers!$C$1:$C$1001, ,0))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c r="Q843" s="5">
        <f>_xlfn.XLOOKUP(Orders[[#This Row],[Product ID]],products!$A$1:$A$49,products!$G$1:$G$49) *Orders[[#This Row],[Quantity]]</f>
        <v>0.56745000000000001</v>
      </c>
    </row>
    <row r="844" spans="1:17" x14ac:dyDescent="0.25">
      <c r="A844" s="2" t="s">
        <v>5251</v>
      </c>
      <c r="B844" s="3">
        <v>44502</v>
      </c>
      <c r="C844" s="2" t="s">
        <v>5188</v>
      </c>
      <c r="D844" t="s">
        <v>6156</v>
      </c>
      <c r="E844" s="2">
        <v>2</v>
      </c>
      <c r="F844" s="2" t="str">
        <f>_xlfn.XLOOKUP(C844,customers!$A$1:$A$1001,customers!$B$1:$B$1001,,0)</f>
        <v>Odelia Skerme</v>
      </c>
      <c r="G844" s="2" t="str">
        <f>IF(_xlfn.XLOOKUP(C844,customers!$A$1:$A$1001,customers!$C$1:$C$1001, ,0)=0,"",_xlfn.XLOOKUP(C844,customers!$A$1:$A$1001,customers!$C$1:$C$1001, ,0))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c r="Q844" s="5">
        <f>_xlfn.XLOOKUP(Orders[[#This Row],[Product ID]],products!$A$1:$A$49,products!$G$1:$G$49) *Orders[[#This Row],[Quantity]]</f>
        <v>0.90749999999999997</v>
      </c>
    </row>
    <row r="845" spans="1:17" x14ac:dyDescent="0.25">
      <c r="A845" s="2" t="s">
        <v>5256</v>
      </c>
      <c r="B845" s="3">
        <v>44387</v>
      </c>
      <c r="C845" s="2" t="s">
        <v>5257</v>
      </c>
      <c r="D845" t="s">
        <v>6156</v>
      </c>
      <c r="E845" s="2">
        <v>2</v>
      </c>
      <c r="F845" s="2" t="str">
        <f>_xlfn.XLOOKUP(C845,customers!$A$1:$A$1001,customers!$B$1:$B$1001,,0)</f>
        <v>De Drewitt</v>
      </c>
      <c r="G845" s="2" t="str">
        <f>IF(_xlfn.XLOOKUP(C845,customers!$A$1:$A$1001,customers!$C$1:$C$1001, ,0)=0,"",_xlfn.XLOOKUP(C845,customers!$A$1:$A$1001,customers!$C$1:$C$1001, ,0))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c r="Q845" s="5">
        <f>_xlfn.XLOOKUP(Orders[[#This Row],[Product ID]],products!$A$1:$A$49,products!$G$1:$G$49) *Orders[[#This Row],[Quantity]]</f>
        <v>0.90749999999999997</v>
      </c>
    </row>
    <row r="846" spans="1:17"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 ,0)=0,"",_xlfn.XLOOKUP(C846,customers!$A$1:$A$1001,customers!$C$1:$C$1001, ,0))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c r="Q846" s="5">
        <f>_xlfn.XLOOKUP(Orders[[#This Row],[Product ID]],products!$A$1:$A$49,products!$G$1:$G$49) *Orders[[#This Row],[Quantity]]</f>
        <v>3.2237999999999998</v>
      </c>
    </row>
    <row r="847" spans="1:17" x14ac:dyDescent="0.25">
      <c r="A847" s="2" t="s">
        <v>5268</v>
      </c>
      <c r="B847" s="3">
        <v>43889</v>
      </c>
      <c r="C847" s="2" t="s">
        <v>5269</v>
      </c>
      <c r="D847" t="s">
        <v>6185</v>
      </c>
      <c r="E847" s="2">
        <v>6</v>
      </c>
      <c r="F847" s="2" t="str">
        <f>_xlfn.XLOOKUP(C847,customers!$A$1:$A$1001,customers!$B$1:$B$1001,,0)</f>
        <v>Murielle Lorinez</v>
      </c>
      <c r="G847" s="2" t="str">
        <f>IF(_xlfn.XLOOKUP(C847,customers!$A$1:$A$1001,customers!$C$1:$C$1001, ,0)=0,"",_xlfn.XLOOKUP(C847,customers!$A$1:$A$1001,customers!$C$1:$C$1001, ,0))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c r="Q847" s="5">
        <f>_xlfn.XLOOKUP(Orders[[#This Row],[Product ID]],products!$A$1:$A$49,products!$G$1:$G$49) *Orders[[#This Row],[Quantity]]</f>
        <v>18.4437</v>
      </c>
    </row>
    <row r="848" spans="1:17" x14ac:dyDescent="0.25">
      <c r="A848" s="2" t="s">
        <v>5273</v>
      </c>
      <c r="B848" s="3">
        <v>44747</v>
      </c>
      <c r="C848" s="2" t="s">
        <v>5274</v>
      </c>
      <c r="D848" t="s">
        <v>6175</v>
      </c>
      <c r="E848" s="2">
        <v>2</v>
      </c>
      <c r="F848" s="2" t="str">
        <f>_xlfn.XLOOKUP(C848,customers!$A$1:$A$1001,customers!$B$1:$B$1001,,0)</f>
        <v>Edin Mathe</v>
      </c>
      <c r="G848" s="2" t="str">
        <f>IF(_xlfn.XLOOKUP(C848,customers!$A$1:$A$1001,customers!$C$1:$C$1001, ,0)=0,"",_xlfn.XLOOKUP(C848,customers!$A$1:$A$1001,customers!$C$1:$C$1001, ,0))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c r="Q848" s="5">
        <f>_xlfn.XLOOKUP(Orders[[#This Row],[Product ID]],products!$A$1:$A$49,products!$G$1:$G$49) *Orders[[#This Row],[Quantity]]</f>
        <v>4.6574999999999989</v>
      </c>
    </row>
    <row r="849" spans="1:17"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 ,0)=0,"",_xlfn.XLOOKUP(C849,customers!$A$1:$A$1001,customers!$C$1:$C$1001, ,0))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c r="Q849" s="5">
        <f>_xlfn.XLOOKUP(Orders[[#This Row],[Product ID]],products!$A$1:$A$49,products!$G$1:$G$49) *Orders[[#This Row],[Quantity]]</f>
        <v>0.80594999999999994</v>
      </c>
    </row>
    <row r="850" spans="1:17" x14ac:dyDescent="0.25">
      <c r="A850" s="2" t="s">
        <v>5283</v>
      </c>
      <c r="B850" s="3">
        <v>43468</v>
      </c>
      <c r="C850" s="2" t="s">
        <v>5284</v>
      </c>
      <c r="D850" t="s">
        <v>6176</v>
      </c>
      <c r="E850" s="2">
        <v>6</v>
      </c>
      <c r="F850" s="2" t="str">
        <f>_xlfn.XLOOKUP(C850,customers!$A$1:$A$1001,customers!$B$1:$B$1001,,0)</f>
        <v>Spencer Wastell</v>
      </c>
      <c r="G850" s="2" t="str">
        <f>IF(_xlfn.XLOOKUP(C850,customers!$A$1:$A$1001,customers!$C$1:$C$1001, ,0)=0,"",_xlfn.XLOOKUP(C850,customers!$A$1:$A$1001,customers!$C$1:$C$1001, ,0))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c r="Q850" s="5">
        <f>_xlfn.XLOOKUP(Orders[[#This Row],[Product ID]],products!$A$1:$A$49,products!$G$1:$G$49) *Orders[[#This Row],[Quantity]]</f>
        <v>5.8805999999999994</v>
      </c>
    </row>
    <row r="851" spans="1:17"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 ,0)=0,"",_xlfn.XLOOKUP(C851,customers!$A$1:$A$1001,customers!$C$1:$C$1001, ,0))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c r="Q851" s="5">
        <f>_xlfn.XLOOKUP(Orders[[#This Row],[Product ID]],products!$A$1:$A$49,products!$G$1:$G$49) *Orders[[#This Row],[Quantity]]</f>
        <v>2.0978999999999997</v>
      </c>
    </row>
    <row r="852" spans="1:17"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 ,0)=0,"",_xlfn.XLOOKUP(C852,customers!$A$1:$A$1001,customers!$C$1:$C$1001, ,0))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c r="Q852" s="5">
        <f>_xlfn.XLOOKUP(Orders[[#This Row],[Product ID]],products!$A$1:$A$49,products!$G$1:$G$49) *Orders[[#This Row],[Quantity]]</f>
        <v>0.60749999999999993</v>
      </c>
    </row>
    <row r="853" spans="1:17" x14ac:dyDescent="0.25">
      <c r="A853" s="2" t="s">
        <v>5299</v>
      </c>
      <c r="B853" s="3">
        <v>43900</v>
      </c>
      <c r="C853" s="2" t="s">
        <v>5300</v>
      </c>
      <c r="D853" t="s">
        <v>6169</v>
      </c>
      <c r="E853" s="2">
        <v>1</v>
      </c>
      <c r="F853" s="2" t="str">
        <f>_xlfn.XLOOKUP(C853,customers!$A$1:$A$1001,customers!$B$1:$B$1001,,0)</f>
        <v>Perice Eberz</v>
      </c>
      <c r="G853" s="2" t="str">
        <f>IF(_xlfn.XLOOKUP(C853,customers!$A$1:$A$1001,customers!$C$1:$C$1001, ,0)=0,"",_xlfn.XLOOKUP(C853,customers!$A$1:$A$1001,customers!$C$1:$C$1001, ,0))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c r="Q853" s="5">
        <f>_xlfn.XLOOKUP(Orders[[#This Row],[Product ID]],products!$A$1:$A$49,products!$G$1:$G$49) *Orders[[#This Row],[Quantity]]</f>
        <v>1.0101</v>
      </c>
    </row>
    <row r="854" spans="1:17" x14ac:dyDescent="0.25">
      <c r="A854" s="2" t="s">
        <v>5305</v>
      </c>
      <c r="B854" s="3">
        <v>44527</v>
      </c>
      <c r="C854" s="2" t="s">
        <v>5306</v>
      </c>
      <c r="D854" t="s">
        <v>6165</v>
      </c>
      <c r="E854" s="2">
        <v>4</v>
      </c>
      <c r="F854" s="2" t="str">
        <f>_xlfn.XLOOKUP(C854,customers!$A$1:$A$1001,customers!$B$1:$B$1001,,0)</f>
        <v>Bear Gaish</v>
      </c>
      <c r="G854" s="2" t="str">
        <f>IF(_xlfn.XLOOKUP(C854,customers!$A$1:$A$1001,customers!$C$1:$C$1001, ,0)=0,"",_xlfn.XLOOKUP(C854,customers!$A$1:$A$1001,customers!$C$1:$C$1001, ,0))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c r="Q854" s="5">
        <f>_xlfn.XLOOKUP(Orders[[#This Row],[Product ID]],products!$A$1:$A$49,products!$G$1:$G$49) *Orders[[#This Row],[Quantity]]</f>
        <v>15.488199999999999</v>
      </c>
    </row>
    <row r="855" spans="1:17" x14ac:dyDescent="0.25">
      <c r="A855" s="2" t="s">
        <v>5310</v>
      </c>
      <c r="B855" s="3">
        <v>44259</v>
      </c>
      <c r="C855" s="2" t="s">
        <v>5311</v>
      </c>
      <c r="D855" t="s">
        <v>6147</v>
      </c>
      <c r="E855" s="2">
        <v>2</v>
      </c>
      <c r="F855" s="2" t="str">
        <f>_xlfn.XLOOKUP(C855,customers!$A$1:$A$1001,customers!$B$1:$B$1001,,0)</f>
        <v>Lynnea Danton</v>
      </c>
      <c r="G855" s="2" t="str">
        <f>IF(_xlfn.XLOOKUP(C855,customers!$A$1:$A$1001,customers!$C$1:$C$1001, ,0)=0,"",_xlfn.XLOOKUP(C855,customers!$A$1:$A$1001,customers!$C$1:$C$1001, ,0))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c r="Q855" s="5">
        <f>_xlfn.XLOOKUP(Orders[[#This Row],[Product ID]],products!$A$1:$A$49,products!$G$1:$G$49) *Orders[[#This Row],[Quantity]]</f>
        <v>1.7909999999999997</v>
      </c>
    </row>
    <row r="856" spans="1:17" x14ac:dyDescent="0.25">
      <c r="A856" s="2" t="s">
        <v>5315</v>
      </c>
      <c r="B856" s="3">
        <v>44516</v>
      </c>
      <c r="C856" s="2" t="s">
        <v>5316</v>
      </c>
      <c r="D856" t="s">
        <v>6173</v>
      </c>
      <c r="E856" s="2">
        <v>5</v>
      </c>
      <c r="F856" s="2" t="str">
        <f>_xlfn.XLOOKUP(C856,customers!$A$1:$A$1001,customers!$B$1:$B$1001,,0)</f>
        <v>Skipton Morrall</v>
      </c>
      <c r="G856" s="2" t="str">
        <f>IF(_xlfn.XLOOKUP(C856,customers!$A$1:$A$1001,customers!$C$1:$C$1001, ,0)=0,"",_xlfn.XLOOKUP(C856,customers!$A$1:$A$1001,customers!$C$1:$C$1001, ,0))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c r="Q856" s="5">
        <f>_xlfn.XLOOKUP(Orders[[#This Row],[Product ID]],products!$A$1:$A$49,products!$G$1:$G$49) *Orders[[#This Row],[Quantity]]</f>
        <v>2.1509999999999998</v>
      </c>
    </row>
    <row r="857" spans="1:17" x14ac:dyDescent="0.25">
      <c r="A857" s="2" t="s">
        <v>5321</v>
      </c>
      <c r="B857" s="3">
        <v>43632</v>
      </c>
      <c r="C857" s="2" t="s">
        <v>5322</v>
      </c>
      <c r="D857" t="s">
        <v>6165</v>
      </c>
      <c r="E857" s="2">
        <v>3</v>
      </c>
      <c r="F857" s="2" t="str">
        <f>_xlfn.XLOOKUP(C857,customers!$A$1:$A$1001,customers!$B$1:$B$1001,,0)</f>
        <v>Devan Crownshaw</v>
      </c>
      <c r="G857" s="2" t="str">
        <f>IF(_xlfn.XLOOKUP(C857,customers!$A$1:$A$1001,customers!$C$1:$C$1001, ,0)=0,"",_xlfn.XLOOKUP(C857,customers!$A$1:$A$1001,customers!$C$1:$C$1001, ,0))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c r="Q857" s="5">
        <f>_xlfn.XLOOKUP(Orders[[#This Row],[Product ID]],products!$A$1:$A$49,products!$G$1:$G$49) *Orders[[#This Row],[Quantity]]</f>
        <v>11.616149999999999</v>
      </c>
    </row>
    <row r="858" spans="1:17" x14ac:dyDescent="0.25">
      <c r="A858" s="2" t="s">
        <v>5327</v>
      </c>
      <c r="B858" s="3">
        <v>44031</v>
      </c>
      <c r="C858" s="2" t="s">
        <v>5188</v>
      </c>
      <c r="D858" t="s">
        <v>6159</v>
      </c>
      <c r="E858" s="2">
        <v>2</v>
      </c>
      <c r="F858" s="2" t="str">
        <f>_xlfn.XLOOKUP(C858,customers!$A$1:$A$1001,customers!$B$1:$B$1001,,0)</f>
        <v>Odelia Skerme</v>
      </c>
      <c r="G858" s="2" t="str">
        <f>IF(_xlfn.XLOOKUP(C858,customers!$A$1:$A$1001,customers!$C$1:$C$1001, ,0)=0,"",_xlfn.XLOOKUP(C858,customers!$A$1:$A$1001,customers!$C$1:$C$1001, ,0))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c r="Q858" s="5">
        <f>_xlfn.XLOOKUP(Orders[[#This Row],[Product ID]],products!$A$1:$A$49,products!$G$1:$G$49) *Orders[[#This Row],[Quantity]]</f>
        <v>1.1349</v>
      </c>
    </row>
    <row r="859" spans="1:17" x14ac:dyDescent="0.25">
      <c r="A859" s="2" t="s">
        <v>5333</v>
      </c>
      <c r="B859" s="3">
        <v>43889</v>
      </c>
      <c r="C859" s="2" t="s">
        <v>5334</v>
      </c>
      <c r="D859" t="s">
        <v>6142</v>
      </c>
      <c r="E859" s="2">
        <v>5</v>
      </c>
      <c r="F859" s="2" t="str">
        <f>_xlfn.XLOOKUP(C859,customers!$A$1:$A$1001,customers!$B$1:$B$1001,,0)</f>
        <v>Joceline Reddoch</v>
      </c>
      <c r="G859" s="2" t="str">
        <f>IF(_xlfn.XLOOKUP(C859,customers!$A$1:$A$1001,customers!$C$1:$C$1001, ,0)=0,"",_xlfn.XLOOKUP(C859,customers!$A$1:$A$1001,customers!$C$1:$C$1001, ,0))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c r="Q859" s="5">
        <f>_xlfn.XLOOKUP(Orders[[#This Row],[Product ID]],products!$A$1:$A$49,products!$G$1:$G$49) *Orders[[#This Row],[Quantity]]</f>
        <v>8.2454999999999998</v>
      </c>
    </row>
    <row r="860" spans="1:17" x14ac:dyDescent="0.25">
      <c r="A860" s="2" t="s">
        <v>5339</v>
      </c>
      <c r="B860" s="3">
        <v>43638</v>
      </c>
      <c r="C860" s="2" t="s">
        <v>5340</v>
      </c>
      <c r="D860" t="s">
        <v>6160</v>
      </c>
      <c r="E860" s="2">
        <v>4</v>
      </c>
      <c r="F860" s="2" t="str">
        <f>_xlfn.XLOOKUP(C860,customers!$A$1:$A$1001,customers!$B$1:$B$1001,,0)</f>
        <v>Shelley Titley</v>
      </c>
      <c r="G860" s="2" t="str">
        <f>IF(_xlfn.XLOOKUP(C860,customers!$A$1:$A$1001,customers!$C$1:$C$1001, ,0)=0,"",_xlfn.XLOOKUP(C860,customers!$A$1:$A$1001,customers!$C$1:$C$1001, ,0))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c r="Q860" s="5">
        <f>_xlfn.XLOOKUP(Orders[[#This Row],[Product ID]],products!$A$1:$A$49,products!$G$1:$G$49) *Orders[[#This Row],[Quantity]]</f>
        <v>4.5396000000000001</v>
      </c>
    </row>
    <row r="861" spans="1:17" x14ac:dyDescent="0.25">
      <c r="A861" s="2" t="s">
        <v>5345</v>
      </c>
      <c r="B861" s="3">
        <v>43716</v>
      </c>
      <c r="C861" s="2" t="s">
        <v>5346</v>
      </c>
      <c r="D861" t="s">
        <v>6182</v>
      </c>
      <c r="E861" s="2">
        <v>6</v>
      </c>
      <c r="F861" s="2" t="str">
        <f>_xlfn.XLOOKUP(C861,customers!$A$1:$A$1001,customers!$B$1:$B$1001,,0)</f>
        <v>Redd Simao</v>
      </c>
      <c r="G861" s="2" t="str">
        <f>IF(_xlfn.XLOOKUP(C861,customers!$A$1:$A$1001,customers!$C$1:$C$1001, ,0)=0,"",_xlfn.XLOOKUP(C861,customers!$A$1:$A$1001,customers!$C$1:$C$1001, ,0))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c r="Q861" s="5">
        <f>_xlfn.XLOOKUP(Orders[[#This Row],[Product ID]],products!$A$1:$A$49,products!$G$1:$G$49) *Orders[[#This Row],[Quantity]]</f>
        <v>16.083899999999996</v>
      </c>
    </row>
    <row r="862" spans="1:17" x14ac:dyDescent="0.25">
      <c r="A862" s="2" t="s">
        <v>5351</v>
      </c>
      <c r="B862" s="3">
        <v>44707</v>
      </c>
      <c r="C862" s="2" t="s">
        <v>5352</v>
      </c>
      <c r="D862" t="s">
        <v>6175</v>
      </c>
      <c r="E862" s="2">
        <v>1</v>
      </c>
      <c r="F862" s="2" t="str">
        <f>_xlfn.XLOOKUP(C862,customers!$A$1:$A$1001,customers!$B$1:$B$1001,,0)</f>
        <v>Cece Inker</v>
      </c>
      <c r="G862" s="2" t="str">
        <f>IF(_xlfn.XLOOKUP(C862,customers!$A$1:$A$1001,customers!$C$1:$C$1001, ,0)=0,"",_xlfn.XLOOKUP(C862,customers!$A$1:$A$1001,customers!$C$1:$C$1001, ,0))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c r="Q862" s="5">
        <f>_xlfn.XLOOKUP(Orders[[#This Row],[Product ID]],products!$A$1:$A$49,products!$G$1:$G$49) *Orders[[#This Row],[Quantity]]</f>
        <v>2.3287499999999994</v>
      </c>
    </row>
    <row r="863" spans="1:17" x14ac:dyDescent="0.25">
      <c r="A863" s="2" t="s">
        <v>5356</v>
      </c>
      <c r="B863" s="3">
        <v>43802</v>
      </c>
      <c r="C863" s="2" t="s">
        <v>5357</v>
      </c>
      <c r="D863" t="s">
        <v>6143</v>
      </c>
      <c r="E863" s="2">
        <v>6</v>
      </c>
      <c r="F863" s="2" t="str">
        <f>_xlfn.XLOOKUP(C863,customers!$A$1:$A$1001,customers!$B$1:$B$1001,,0)</f>
        <v>Noel Chisholm</v>
      </c>
      <c r="G863" s="2" t="str">
        <f>IF(_xlfn.XLOOKUP(C863,customers!$A$1:$A$1001,customers!$C$1:$C$1001, ,0)=0,"",_xlfn.XLOOKUP(C863,customers!$A$1:$A$1001,customers!$C$1:$C$1001, ,0))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c r="Q863" s="5">
        <f>_xlfn.XLOOKUP(Orders[[#This Row],[Product ID]],products!$A$1:$A$49,products!$G$1:$G$49) *Orders[[#This Row],[Quantity]]</f>
        <v>10.100999999999999</v>
      </c>
    </row>
    <row r="864" spans="1:17" x14ac:dyDescent="0.25">
      <c r="A864" s="2" t="s">
        <v>5362</v>
      </c>
      <c r="B864" s="3">
        <v>43725</v>
      </c>
      <c r="C864" s="2" t="s">
        <v>5363</v>
      </c>
      <c r="D864" t="s">
        <v>6138</v>
      </c>
      <c r="E864" s="2">
        <v>1</v>
      </c>
      <c r="F864" s="2" t="str">
        <f>_xlfn.XLOOKUP(C864,customers!$A$1:$A$1001,customers!$B$1:$B$1001,,0)</f>
        <v>Grazia Oats</v>
      </c>
      <c r="G864" s="2" t="str">
        <f>IF(_xlfn.XLOOKUP(C864,customers!$A$1:$A$1001,customers!$C$1:$C$1001, ,0)=0,"",_xlfn.XLOOKUP(C864,customers!$A$1:$A$1001,customers!$C$1:$C$1001, ,0))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c r="Q864" s="5">
        <f>_xlfn.XLOOKUP(Orders[[#This Row],[Product ID]],products!$A$1:$A$49,products!$G$1:$G$49) *Orders[[#This Row],[Quantity]]</f>
        <v>0.59699999999999998</v>
      </c>
    </row>
    <row r="865" spans="1:17" x14ac:dyDescent="0.25">
      <c r="A865" s="2" t="s">
        <v>5368</v>
      </c>
      <c r="B865" s="3">
        <v>44712</v>
      </c>
      <c r="C865" s="2" t="s">
        <v>5369</v>
      </c>
      <c r="D865" t="s">
        <v>6162</v>
      </c>
      <c r="E865" s="2">
        <v>2</v>
      </c>
      <c r="F865" s="2" t="str">
        <f>_xlfn.XLOOKUP(C865,customers!$A$1:$A$1001,customers!$B$1:$B$1001,,0)</f>
        <v>Meade Birkin</v>
      </c>
      <c r="G865" s="2" t="str">
        <f>IF(_xlfn.XLOOKUP(C865,customers!$A$1:$A$1001,customers!$C$1:$C$1001, ,0)=0,"",_xlfn.XLOOKUP(C865,customers!$A$1:$A$1001,customers!$C$1:$C$1001, ,0))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c r="Q865" s="5">
        <f>_xlfn.XLOOKUP(Orders[[#This Row],[Product ID]],products!$A$1:$A$49,products!$G$1:$G$49) *Orders[[#This Row],[Quantity]]</f>
        <v>3.7830000000000004</v>
      </c>
    </row>
    <row r="866" spans="1:17" x14ac:dyDescent="0.25">
      <c r="A866" s="2" t="s">
        <v>5374</v>
      </c>
      <c r="B866" s="3">
        <v>43759</v>
      </c>
      <c r="C866" s="2" t="s">
        <v>5375</v>
      </c>
      <c r="D866" t="s">
        <v>6178</v>
      </c>
      <c r="E866" s="2">
        <v>6</v>
      </c>
      <c r="F866" s="2" t="str">
        <f>_xlfn.XLOOKUP(C866,customers!$A$1:$A$1001,customers!$B$1:$B$1001,,0)</f>
        <v>Ronda Pyson</v>
      </c>
      <c r="G866" s="2" t="str">
        <f>IF(_xlfn.XLOOKUP(C866,customers!$A$1:$A$1001,customers!$C$1:$C$1001, ,0)=0,"",_xlfn.XLOOKUP(C866,customers!$A$1:$A$1001,customers!$C$1:$C$1001, ,0))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c r="Q866" s="5">
        <f>_xlfn.XLOOKUP(Orders[[#This Row],[Product ID]],products!$A$1:$A$49,products!$G$1:$G$49) *Orders[[#This Row],[Quantity]]</f>
        <v>1.2905999999999997</v>
      </c>
    </row>
    <row r="867" spans="1:17"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 ,0)=0,"",_xlfn.XLOOKUP(C867,customers!$A$1:$A$1001,customers!$C$1:$C$1001, ,0))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c r="Q867" s="5">
        <f>_xlfn.XLOOKUP(Orders[[#This Row],[Product ID]],products!$A$1:$A$49,products!$G$1:$G$49) *Orders[[#This Row],[Quantity]]</f>
        <v>0.60749999999999993</v>
      </c>
    </row>
    <row r="868" spans="1:17" x14ac:dyDescent="0.25">
      <c r="A868" s="2" t="s">
        <v>5385</v>
      </c>
      <c r="B868" s="3">
        <v>44209</v>
      </c>
      <c r="C868" s="2" t="s">
        <v>5386</v>
      </c>
      <c r="D868" t="s">
        <v>6158</v>
      </c>
      <c r="E868" s="2">
        <v>3</v>
      </c>
      <c r="F868" s="2" t="str">
        <f>_xlfn.XLOOKUP(C868,customers!$A$1:$A$1001,customers!$B$1:$B$1001,,0)</f>
        <v>Rafaela Treacher</v>
      </c>
      <c r="G868" s="2" t="str">
        <f>IF(_xlfn.XLOOKUP(C868,customers!$A$1:$A$1001,customers!$C$1:$C$1001, ,0)=0,"",_xlfn.XLOOKUP(C868,customers!$A$1:$A$1001,customers!$C$1:$C$1001, ,0))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c r="Q868" s="5">
        <f>_xlfn.XLOOKUP(Orders[[#This Row],[Product ID]],products!$A$1:$A$49,products!$G$1:$G$49) *Orders[[#This Row],[Quantity]]</f>
        <v>1.6118999999999999</v>
      </c>
    </row>
    <row r="869" spans="1:17" x14ac:dyDescent="0.25">
      <c r="A869" s="2" t="s">
        <v>5391</v>
      </c>
      <c r="B869" s="3">
        <v>44792</v>
      </c>
      <c r="C869" s="2" t="s">
        <v>5392</v>
      </c>
      <c r="D869" t="s">
        <v>6182</v>
      </c>
      <c r="E869" s="2">
        <v>1</v>
      </c>
      <c r="F869" s="2" t="str">
        <f>_xlfn.XLOOKUP(C869,customers!$A$1:$A$1001,customers!$B$1:$B$1001,,0)</f>
        <v>Bee Fattorini</v>
      </c>
      <c r="G869" s="2" t="str">
        <f>IF(_xlfn.XLOOKUP(C869,customers!$A$1:$A$1001,customers!$C$1:$C$1001, ,0)=0,"",_xlfn.XLOOKUP(C869,customers!$A$1:$A$1001,customers!$C$1:$C$1001, ,0))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c r="Q869" s="5">
        <f>_xlfn.XLOOKUP(Orders[[#This Row],[Product ID]],products!$A$1:$A$49,products!$G$1:$G$49) *Orders[[#This Row],[Quantity]]</f>
        <v>2.6806499999999995</v>
      </c>
    </row>
    <row r="870" spans="1:17" x14ac:dyDescent="0.25">
      <c r="A870" s="2" t="s">
        <v>5396</v>
      </c>
      <c r="B870" s="3">
        <v>43526</v>
      </c>
      <c r="C870" s="2" t="s">
        <v>5397</v>
      </c>
      <c r="D870" t="s">
        <v>6139</v>
      </c>
      <c r="E870" s="2">
        <v>5</v>
      </c>
      <c r="F870" s="2" t="str">
        <f>_xlfn.XLOOKUP(C870,customers!$A$1:$A$1001,customers!$B$1:$B$1001,,0)</f>
        <v>Margie Palleske</v>
      </c>
      <c r="G870" s="2" t="str">
        <f>IF(_xlfn.XLOOKUP(C870,customers!$A$1:$A$1001,customers!$C$1:$C$1001, ,0)=0,"",_xlfn.XLOOKUP(C870,customers!$A$1:$A$1001,customers!$C$1:$C$1001, ,0))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c r="Q870" s="5">
        <f>_xlfn.XLOOKUP(Orders[[#This Row],[Product ID]],products!$A$1:$A$49,products!$G$1:$G$49) *Orders[[#This Row],[Quantity]]</f>
        <v>4.5374999999999996</v>
      </c>
    </row>
    <row r="871" spans="1:17" x14ac:dyDescent="0.25">
      <c r="A871" s="2" t="s">
        <v>5402</v>
      </c>
      <c r="B871" s="3">
        <v>43851</v>
      </c>
      <c r="C871" s="2" t="s">
        <v>5403</v>
      </c>
      <c r="D871" t="s">
        <v>6146</v>
      </c>
      <c r="E871" s="2">
        <v>3</v>
      </c>
      <c r="F871" s="2" t="str">
        <f>_xlfn.XLOOKUP(C871,customers!$A$1:$A$1001,customers!$B$1:$B$1001,,0)</f>
        <v>Alexina Randals</v>
      </c>
      <c r="G871" s="2" t="str">
        <f>IF(_xlfn.XLOOKUP(C871,customers!$A$1:$A$1001,customers!$C$1:$C$1001, ,0)=0,"",_xlfn.XLOOKUP(C871,customers!$A$1:$A$1001,customers!$C$1:$C$1001, ,0))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c r="Q871" s="5">
        <f>_xlfn.XLOOKUP(Orders[[#This Row],[Product ID]],products!$A$1:$A$49,products!$G$1:$G$49) *Orders[[#This Row],[Quantity]]</f>
        <v>1.0745999999999998</v>
      </c>
    </row>
    <row r="872" spans="1:17" x14ac:dyDescent="0.25">
      <c r="A872" s="2" t="s">
        <v>5407</v>
      </c>
      <c r="B872" s="3">
        <v>44460</v>
      </c>
      <c r="C872" s="2" t="s">
        <v>5408</v>
      </c>
      <c r="D872" t="s">
        <v>6144</v>
      </c>
      <c r="E872" s="2">
        <v>1</v>
      </c>
      <c r="F872" s="2" t="str">
        <f>_xlfn.XLOOKUP(C872,customers!$A$1:$A$1001,customers!$B$1:$B$1001,,0)</f>
        <v>Filip Antcliffe</v>
      </c>
      <c r="G872" s="2" t="str">
        <f>IF(_xlfn.XLOOKUP(C872,customers!$A$1:$A$1001,customers!$C$1:$C$1001, ,0)=0,"",_xlfn.XLOOKUP(C872,customers!$A$1:$A$1001,customers!$C$1:$C$1001, ,0))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c r="Q872" s="5">
        <f>_xlfn.XLOOKUP(Orders[[#This Row],[Product ID]],products!$A$1:$A$49,products!$G$1:$G$49) *Orders[[#This Row],[Quantity]]</f>
        <v>0.80190000000000006</v>
      </c>
    </row>
    <row r="873" spans="1:17" x14ac:dyDescent="0.25">
      <c r="A873" s="2" t="s">
        <v>5413</v>
      </c>
      <c r="B873" s="3">
        <v>43707</v>
      </c>
      <c r="C873" s="2" t="s">
        <v>5414</v>
      </c>
      <c r="D873" t="s">
        <v>6171</v>
      </c>
      <c r="E873" s="2">
        <v>2</v>
      </c>
      <c r="F873" s="2" t="str">
        <f>_xlfn.XLOOKUP(C873,customers!$A$1:$A$1001,customers!$B$1:$B$1001,,0)</f>
        <v>Peyter Matignon</v>
      </c>
      <c r="G873" s="2" t="str">
        <f>IF(_xlfn.XLOOKUP(C873,customers!$A$1:$A$1001,customers!$C$1:$C$1001, ,0)=0,"",_xlfn.XLOOKUP(C873,customers!$A$1:$A$1001,customers!$C$1:$C$1001, ,0))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c r="Q873" s="5">
        <f>_xlfn.XLOOKUP(Orders[[#This Row],[Product ID]],products!$A$1:$A$49,products!$G$1:$G$49) *Orders[[#This Row],[Quantity]]</f>
        <v>3.2669999999999999</v>
      </c>
    </row>
    <row r="874" spans="1:17" x14ac:dyDescent="0.25">
      <c r="A874" s="2" t="s">
        <v>5421</v>
      </c>
      <c r="B874" s="3">
        <v>43521</v>
      </c>
      <c r="C874" s="2" t="s">
        <v>5422</v>
      </c>
      <c r="D874" t="s">
        <v>6155</v>
      </c>
      <c r="E874" s="2">
        <v>2</v>
      </c>
      <c r="F874" s="2" t="str">
        <f>_xlfn.XLOOKUP(C874,customers!$A$1:$A$1001,customers!$B$1:$B$1001,,0)</f>
        <v>Claudie Weond</v>
      </c>
      <c r="G874" s="2" t="str">
        <f>IF(_xlfn.XLOOKUP(C874,customers!$A$1:$A$1001,customers!$C$1:$C$1001, ,0)=0,"",_xlfn.XLOOKUP(C874,customers!$A$1:$A$1001,customers!$C$1:$C$1001, ,0))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c r="Q874" s="5">
        <f>_xlfn.XLOOKUP(Orders[[#This Row],[Product ID]],products!$A$1:$A$49,products!$G$1:$G$49) *Orders[[#This Row],[Quantity]]</f>
        <v>2.0249999999999999</v>
      </c>
    </row>
    <row r="875" spans="1:17"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 ,0)=0,"",_xlfn.XLOOKUP(C875,customers!$A$1:$A$1001,customers!$C$1:$C$1001, ,0))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c r="Q875" s="5">
        <f>_xlfn.XLOOKUP(Orders[[#This Row],[Product ID]],products!$A$1:$A$49,products!$G$1:$G$49) *Orders[[#This Row],[Quantity]]</f>
        <v>0.71639999999999993</v>
      </c>
    </row>
    <row r="876" spans="1:17"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 ,0)=0,"",_xlfn.XLOOKUP(C876,customers!$A$1:$A$1001,customers!$C$1:$C$1001, ,0))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c r="Q876" s="5">
        <f>_xlfn.XLOOKUP(Orders[[#This Row],[Product ID]],products!$A$1:$A$49,products!$G$1:$G$49) *Orders[[#This Row],[Quantity]]</f>
        <v>2.331</v>
      </c>
    </row>
    <row r="877" spans="1:17" x14ac:dyDescent="0.25">
      <c r="A877" s="2" t="s">
        <v>5439</v>
      </c>
      <c r="B877" s="3">
        <v>44253</v>
      </c>
      <c r="C877" s="2" t="s">
        <v>5440</v>
      </c>
      <c r="D877" t="s">
        <v>6160</v>
      </c>
      <c r="E877" s="2">
        <v>5</v>
      </c>
      <c r="F877" s="2" t="str">
        <f>_xlfn.XLOOKUP(C877,customers!$A$1:$A$1001,customers!$B$1:$B$1001,,0)</f>
        <v>Orazio Comber</v>
      </c>
      <c r="G877" s="2" t="str">
        <f>IF(_xlfn.XLOOKUP(C877,customers!$A$1:$A$1001,customers!$C$1:$C$1001, ,0)=0,"",_xlfn.XLOOKUP(C877,customers!$A$1:$A$1001,customers!$C$1:$C$1001, ,0))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c r="Q877" s="5">
        <f>_xlfn.XLOOKUP(Orders[[#This Row],[Product ID]],products!$A$1:$A$49,products!$G$1:$G$49) *Orders[[#This Row],[Quantity]]</f>
        <v>5.6745000000000001</v>
      </c>
    </row>
    <row r="878" spans="1:17" x14ac:dyDescent="0.25">
      <c r="A878" s="2" t="s">
        <v>5439</v>
      </c>
      <c r="B878" s="3">
        <v>44253</v>
      </c>
      <c r="C878" s="2" t="s">
        <v>5440</v>
      </c>
      <c r="D878" t="s">
        <v>6180</v>
      </c>
      <c r="E878" s="2">
        <v>6</v>
      </c>
      <c r="F878" s="2" t="str">
        <f>_xlfn.XLOOKUP(C878,customers!$A$1:$A$1001,customers!$B$1:$B$1001,,0)</f>
        <v>Orazio Comber</v>
      </c>
      <c r="G878" s="2" t="str">
        <f>IF(_xlfn.XLOOKUP(C878,customers!$A$1:$A$1001,customers!$C$1:$C$1001, ,0)=0,"",_xlfn.XLOOKUP(C878,customers!$A$1:$A$1001,customers!$C$1:$C$1001, ,0))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c r="Q878" s="5">
        <f>_xlfn.XLOOKUP(Orders[[#This Row],[Product ID]],products!$A$1:$A$49,products!$G$1:$G$49) *Orders[[#This Row],[Quantity]]</f>
        <v>4.1957999999999993</v>
      </c>
    </row>
    <row r="879" spans="1:17" x14ac:dyDescent="0.25">
      <c r="A879" s="2" t="s">
        <v>5450</v>
      </c>
      <c r="B879" s="3">
        <v>44411</v>
      </c>
      <c r="C879" s="2" t="s">
        <v>5451</v>
      </c>
      <c r="D879" t="s">
        <v>6161</v>
      </c>
      <c r="E879" s="2">
        <v>3</v>
      </c>
      <c r="F879" s="2" t="str">
        <f>_xlfn.XLOOKUP(C879,customers!$A$1:$A$1001,customers!$B$1:$B$1001,,0)</f>
        <v>Zachary Tramel</v>
      </c>
      <c r="G879" s="2" t="str">
        <f>IF(_xlfn.XLOOKUP(C879,customers!$A$1:$A$1001,customers!$C$1:$C$1001, ,0)=0,"",_xlfn.XLOOKUP(C879,customers!$A$1:$A$1001,customers!$C$1:$C$1001, ,0))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c r="Q879" s="5">
        <f>_xlfn.XLOOKUP(Orders[[#This Row],[Product ID]],products!$A$1:$A$49,products!$G$1:$G$49) *Orders[[#This Row],[Quantity]]</f>
        <v>3.7088999999999999</v>
      </c>
    </row>
    <row r="880" spans="1:17" x14ac:dyDescent="0.25">
      <c r="A880" s="2" t="s">
        <v>5456</v>
      </c>
      <c r="B880" s="3">
        <v>44323</v>
      </c>
      <c r="C880" s="2" t="s">
        <v>5457</v>
      </c>
      <c r="D880" t="s">
        <v>6142</v>
      </c>
      <c r="E880" s="2">
        <v>1</v>
      </c>
      <c r="F880" s="2" t="str">
        <f>_xlfn.XLOOKUP(C880,customers!$A$1:$A$1001,customers!$B$1:$B$1001,,0)</f>
        <v>Izaak Primak</v>
      </c>
      <c r="G880" s="2" t="str">
        <f>IF(_xlfn.XLOOKUP(C880,customers!$A$1:$A$1001,customers!$C$1:$C$1001, ,0)=0,"",_xlfn.XLOOKUP(C880,customers!$A$1:$A$1001,customers!$C$1:$C$1001, ,0))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c r="Q880" s="5">
        <f>_xlfn.XLOOKUP(Orders[[#This Row],[Product ID]],products!$A$1:$A$49,products!$G$1:$G$49) *Orders[[#This Row],[Quantity]]</f>
        <v>1.6490999999999998</v>
      </c>
    </row>
    <row r="881" spans="1:17"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 ,0)=0,"",_xlfn.XLOOKUP(C881,customers!$A$1:$A$1001,customers!$C$1:$C$1001, ,0))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c r="Q881" s="5">
        <f>_xlfn.XLOOKUP(Orders[[#This Row],[Product ID]],products!$A$1:$A$49,products!$G$1:$G$49) *Orders[[#This Row],[Quantity]]</f>
        <v>1.2028500000000002</v>
      </c>
    </row>
    <row r="882" spans="1:17"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 ,0)=0,"",_xlfn.XLOOKUP(C882,customers!$A$1:$A$1001,customers!$C$1:$C$1001, ,0))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c r="Q882" s="5">
        <f>_xlfn.XLOOKUP(Orders[[#This Row],[Product ID]],products!$A$1:$A$49,products!$G$1:$G$49) *Orders[[#This Row],[Quantity]]</f>
        <v>0.43019999999999992</v>
      </c>
    </row>
    <row r="883" spans="1:17" x14ac:dyDescent="0.25">
      <c r="A883" s="2" t="s">
        <v>5472</v>
      </c>
      <c r="B883" s="3">
        <v>44286</v>
      </c>
      <c r="C883" s="2" t="s">
        <v>5473</v>
      </c>
      <c r="D883" t="s">
        <v>6167</v>
      </c>
      <c r="E883" s="2">
        <v>6</v>
      </c>
      <c r="F883" s="2" t="str">
        <f>_xlfn.XLOOKUP(C883,customers!$A$1:$A$1001,customers!$B$1:$B$1001,,0)</f>
        <v>Bobbe Castagneto</v>
      </c>
      <c r="G883" s="2" t="str">
        <f>IF(_xlfn.XLOOKUP(C883,customers!$A$1:$A$1001,customers!$C$1:$C$1001, ,0)=0,"",_xlfn.XLOOKUP(C883,customers!$A$1:$A$1001,customers!$C$1:$C$1001, ,0))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c r="Q883" s="5">
        <f>_xlfn.XLOOKUP(Orders[[#This Row],[Product ID]],products!$A$1:$A$49,products!$G$1:$G$49) *Orders[[#This Row],[Quantity]]</f>
        <v>2.0978999999999997</v>
      </c>
    </row>
    <row r="884" spans="1:17" x14ac:dyDescent="0.25">
      <c r="A884" s="2" t="s">
        <v>5477</v>
      </c>
      <c r="B884" s="3">
        <v>43647</v>
      </c>
      <c r="C884" s="2" t="s">
        <v>5526</v>
      </c>
      <c r="D884" t="s">
        <v>6168</v>
      </c>
      <c r="E884" s="2">
        <v>5</v>
      </c>
      <c r="F884" s="2" t="str">
        <f>_xlfn.XLOOKUP(C884,customers!$A$1:$A$1001,customers!$B$1:$B$1001,,0)</f>
        <v>Kippie Marrison</v>
      </c>
      <c r="G884" s="2" t="str">
        <f>IF(_xlfn.XLOOKUP(C884,customers!$A$1:$A$1001,customers!$C$1:$C$1001, ,0)=0,"",_xlfn.XLOOKUP(C884,customers!$A$1:$A$1001,customers!$C$1:$C$1001, ,0))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c r="Q884" s="5">
        <f>_xlfn.XLOOKUP(Orders[[#This Row],[Product ID]],products!$A$1:$A$49,products!$G$1:$G$49) *Orders[[#This Row],[Quantity]]</f>
        <v>10.298249999999998</v>
      </c>
    </row>
    <row r="885" spans="1:17" x14ac:dyDescent="0.25">
      <c r="A885" s="2" t="s">
        <v>5483</v>
      </c>
      <c r="B885" s="3">
        <v>43956</v>
      </c>
      <c r="C885" s="2" t="s">
        <v>5484</v>
      </c>
      <c r="D885" t="s">
        <v>6175</v>
      </c>
      <c r="E885" s="2">
        <v>3</v>
      </c>
      <c r="F885" s="2" t="str">
        <f>_xlfn.XLOOKUP(C885,customers!$A$1:$A$1001,customers!$B$1:$B$1001,,0)</f>
        <v>Lindon Agnolo</v>
      </c>
      <c r="G885" s="2" t="str">
        <f>IF(_xlfn.XLOOKUP(C885,customers!$A$1:$A$1001,customers!$C$1:$C$1001, ,0)=0,"",_xlfn.XLOOKUP(C885,customers!$A$1:$A$1001,customers!$C$1:$C$1001, ,0))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c r="Q885" s="5">
        <f>_xlfn.XLOOKUP(Orders[[#This Row],[Product ID]],products!$A$1:$A$49,products!$G$1:$G$49) *Orders[[#This Row],[Quantity]]</f>
        <v>6.9862499999999983</v>
      </c>
    </row>
    <row r="886" spans="1:17" x14ac:dyDescent="0.25">
      <c r="A886" s="2" t="s">
        <v>5489</v>
      </c>
      <c r="B886" s="3">
        <v>43941</v>
      </c>
      <c r="C886" s="2" t="s">
        <v>5490</v>
      </c>
      <c r="D886" t="s">
        <v>6172</v>
      </c>
      <c r="E886" s="2">
        <v>1</v>
      </c>
      <c r="F886" s="2" t="str">
        <f>_xlfn.XLOOKUP(C886,customers!$A$1:$A$1001,customers!$B$1:$B$1001,,0)</f>
        <v>Delainey Kiddy</v>
      </c>
      <c r="G886" s="2" t="str">
        <f>IF(_xlfn.XLOOKUP(C886,customers!$A$1:$A$1001,customers!$C$1:$C$1001, ,0)=0,"",_xlfn.XLOOKUP(C886,customers!$A$1:$A$1001,customers!$C$1:$C$1001, ,0))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c r="Q886" s="5">
        <f>_xlfn.XLOOKUP(Orders[[#This Row],[Product ID]],products!$A$1:$A$49,products!$G$1:$G$49) *Orders[[#This Row],[Quantity]]</f>
        <v>0.32219999999999993</v>
      </c>
    </row>
    <row r="887" spans="1:17" x14ac:dyDescent="0.25">
      <c r="A887" s="2" t="s">
        <v>5495</v>
      </c>
      <c r="B887" s="3">
        <v>43664</v>
      </c>
      <c r="C887" s="2" t="s">
        <v>5496</v>
      </c>
      <c r="D887" t="s">
        <v>6149</v>
      </c>
      <c r="E887" s="2">
        <v>6</v>
      </c>
      <c r="F887" s="2" t="str">
        <f>_xlfn.XLOOKUP(C887,customers!$A$1:$A$1001,customers!$B$1:$B$1001,,0)</f>
        <v>Helli Petroulis</v>
      </c>
      <c r="G887" s="2" t="str">
        <f>IF(_xlfn.XLOOKUP(C887,customers!$A$1:$A$1001,customers!$C$1:$C$1001, ,0)=0,"",_xlfn.XLOOKUP(C887,customers!$A$1:$A$1001,customers!$C$1:$C$1001, ,0))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c r="Q887" s="5">
        <f>_xlfn.XLOOKUP(Orders[[#This Row],[Product ID]],products!$A$1:$A$49,products!$G$1:$G$49) *Orders[[#This Row],[Quantity]]</f>
        <v>7.4105999999999987</v>
      </c>
    </row>
    <row r="888" spans="1:17" x14ac:dyDescent="0.25">
      <c r="A888" s="2" t="s">
        <v>5501</v>
      </c>
      <c r="B888" s="3">
        <v>44518</v>
      </c>
      <c r="C888" s="2" t="s">
        <v>5502</v>
      </c>
      <c r="D888" t="s">
        <v>6160</v>
      </c>
      <c r="E888" s="2">
        <v>2</v>
      </c>
      <c r="F888" s="2" t="str">
        <f>_xlfn.XLOOKUP(C888,customers!$A$1:$A$1001,customers!$B$1:$B$1001,,0)</f>
        <v>Marty Scholl</v>
      </c>
      <c r="G888" s="2" t="str">
        <f>IF(_xlfn.XLOOKUP(C888,customers!$A$1:$A$1001,customers!$C$1:$C$1001, ,0)=0,"",_xlfn.XLOOKUP(C888,customers!$A$1:$A$1001,customers!$C$1:$C$1001, ,0))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c r="Q888" s="5">
        <f>_xlfn.XLOOKUP(Orders[[#This Row],[Product ID]],products!$A$1:$A$49,products!$G$1:$G$49) *Orders[[#This Row],[Quantity]]</f>
        <v>2.2698</v>
      </c>
    </row>
    <row r="889" spans="1:17" x14ac:dyDescent="0.25">
      <c r="A889" s="2" t="s">
        <v>5507</v>
      </c>
      <c r="B889" s="3">
        <v>44002</v>
      </c>
      <c r="C889" s="2" t="s">
        <v>5508</v>
      </c>
      <c r="D889" t="s">
        <v>6184</v>
      </c>
      <c r="E889" s="2">
        <v>3</v>
      </c>
      <c r="F889" s="2" t="str">
        <f>_xlfn.XLOOKUP(C889,customers!$A$1:$A$1001,customers!$B$1:$B$1001,,0)</f>
        <v>Kienan Ferson</v>
      </c>
      <c r="G889" s="2" t="str">
        <f>IF(_xlfn.XLOOKUP(C889,customers!$A$1:$A$1001,customers!$C$1:$C$1001, ,0)=0,"",_xlfn.XLOOKUP(C889,customers!$A$1:$A$1001,customers!$C$1:$C$1001, ,0))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c r="Q889" s="5">
        <f>_xlfn.XLOOKUP(Orders[[#This Row],[Product ID]],products!$A$1:$A$49,products!$G$1:$G$49) *Orders[[#This Row],[Quantity]]</f>
        <v>1.4701499999999998</v>
      </c>
    </row>
    <row r="890" spans="1:17" x14ac:dyDescent="0.25">
      <c r="A890" s="2" t="s">
        <v>5513</v>
      </c>
      <c r="B890" s="3">
        <v>44292</v>
      </c>
      <c r="C890" s="2" t="s">
        <v>5514</v>
      </c>
      <c r="D890" t="s">
        <v>6167</v>
      </c>
      <c r="E890" s="2">
        <v>2</v>
      </c>
      <c r="F890" s="2" t="str">
        <f>_xlfn.XLOOKUP(C890,customers!$A$1:$A$1001,customers!$B$1:$B$1001,,0)</f>
        <v>Blake Kelloway</v>
      </c>
      <c r="G890" s="2" t="str">
        <f>IF(_xlfn.XLOOKUP(C890,customers!$A$1:$A$1001,customers!$C$1:$C$1001, ,0)=0,"",_xlfn.XLOOKUP(C890,customers!$A$1:$A$1001,customers!$C$1:$C$1001, ,0))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c r="Q890" s="5">
        <f>_xlfn.XLOOKUP(Orders[[#This Row],[Product ID]],products!$A$1:$A$49,products!$G$1:$G$49) *Orders[[#This Row],[Quantity]]</f>
        <v>0.69929999999999992</v>
      </c>
    </row>
    <row r="891" spans="1:17" x14ac:dyDescent="0.25">
      <c r="A891" s="2" t="s">
        <v>5519</v>
      </c>
      <c r="B891" s="3">
        <v>43633</v>
      </c>
      <c r="C891" s="2" t="s">
        <v>5520</v>
      </c>
      <c r="D891" t="s">
        <v>6163</v>
      </c>
      <c r="E891" s="2">
        <v>1</v>
      </c>
      <c r="F891" s="2" t="str">
        <f>_xlfn.XLOOKUP(C891,customers!$A$1:$A$1001,customers!$B$1:$B$1001,,0)</f>
        <v>Scarlett Oliffe</v>
      </c>
      <c r="G891" s="2" t="str">
        <f>IF(_xlfn.XLOOKUP(C891,customers!$A$1:$A$1001,customers!$C$1:$C$1001, ,0)=0,"",_xlfn.XLOOKUP(C891,customers!$A$1:$A$1001,customers!$C$1:$C$1001, ,0))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c r="Q891" s="5">
        <f>_xlfn.XLOOKUP(Orders[[#This Row],[Product ID]],products!$A$1:$A$49,products!$G$1:$G$49) *Orders[[#This Row],[Quantity]]</f>
        <v>0.16109999999999997</v>
      </c>
    </row>
    <row r="892" spans="1:17" x14ac:dyDescent="0.25">
      <c r="A892" s="2" t="s">
        <v>5525</v>
      </c>
      <c r="B892" s="3">
        <v>44646</v>
      </c>
      <c r="C892" s="2" t="s">
        <v>5526</v>
      </c>
      <c r="D892" t="s">
        <v>6149</v>
      </c>
      <c r="E892" s="2">
        <v>1</v>
      </c>
      <c r="F892" s="2" t="str">
        <f>_xlfn.XLOOKUP(C892,customers!$A$1:$A$1001,customers!$B$1:$B$1001,,0)</f>
        <v>Kippie Marrison</v>
      </c>
      <c r="G892" s="2" t="str">
        <f>IF(_xlfn.XLOOKUP(C892,customers!$A$1:$A$1001,customers!$C$1:$C$1001, ,0)=0,"",_xlfn.XLOOKUP(C892,customers!$A$1:$A$1001,customers!$C$1:$C$1001, ,0))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c r="Q892" s="5">
        <f>_xlfn.XLOOKUP(Orders[[#This Row],[Product ID]],products!$A$1:$A$49,products!$G$1:$G$49) *Orders[[#This Row],[Quantity]]</f>
        <v>1.2350999999999999</v>
      </c>
    </row>
    <row r="893" spans="1:17"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 ,0)=0,"",_xlfn.XLOOKUP(C893,customers!$A$1:$A$1001,customers!$C$1:$C$1001, ,0))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c r="Q893" s="5">
        <f>_xlfn.XLOOKUP(Orders[[#This Row],[Product ID]],products!$A$1:$A$49,products!$G$1:$G$49) *Orders[[#This Row],[Quantity]]</f>
        <v>10.298249999999998</v>
      </c>
    </row>
    <row r="894" spans="1:17" x14ac:dyDescent="0.25">
      <c r="A894" s="2" t="s">
        <v>5537</v>
      </c>
      <c r="B894" s="3">
        <v>43635</v>
      </c>
      <c r="C894" s="2" t="s">
        <v>5538</v>
      </c>
      <c r="D894" t="s">
        <v>6156</v>
      </c>
      <c r="E894" s="2">
        <v>5</v>
      </c>
      <c r="F894" s="2" t="str">
        <f>_xlfn.XLOOKUP(C894,customers!$A$1:$A$1001,customers!$B$1:$B$1001,,0)</f>
        <v>Patsy Vasilenko</v>
      </c>
      <c r="G894" s="2" t="str">
        <f>IF(_xlfn.XLOOKUP(C894,customers!$A$1:$A$1001,customers!$C$1:$C$1001, ,0)=0,"",_xlfn.XLOOKUP(C894,customers!$A$1:$A$1001,customers!$C$1:$C$1001, ,0))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c r="Q894" s="5">
        <f>_xlfn.XLOOKUP(Orders[[#This Row],[Product ID]],products!$A$1:$A$49,products!$G$1:$G$49) *Orders[[#This Row],[Quantity]]</f>
        <v>2.2687499999999998</v>
      </c>
    </row>
    <row r="895" spans="1:17"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 ,0)=0,"",_xlfn.XLOOKUP(C895,customers!$A$1:$A$1001,customers!$C$1:$C$1001, ,0))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c r="Q895" s="5">
        <f>_xlfn.XLOOKUP(Orders[[#This Row],[Product ID]],products!$A$1:$A$49,products!$G$1:$G$49) *Orders[[#This Row],[Quantity]]</f>
        <v>7.4177999999999997</v>
      </c>
    </row>
    <row r="896" spans="1:17" x14ac:dyDescent="0.25">
      <c r="A896" s="2" t="s">
        <v>5548</v>
      </c>
      <c r="B896" s="3">
        <v>44016</v>
      </c>
      <c r="C896" s="2" t="s">
        <v>5549</v>
      </c>
      <c r="D896" t="s">
        <v>6149</v>
      </c>
      <c r="E896" s="2">
        <v>4</v>
      </c>
      <c r="F896" s="2" t="str">
        <f>_xlfn.XLOOKUP(C896,customers!$A$1:$A$1001,customers!$B$1:$B$1001,,0)</f>
        <v>Sharity Wickens</v>
      </c>
      <c r="G896" s="2" t="str">
        <f>IF(_xlfn.XLOOKUP(C896,customers!$A$1:$A$1001,customers!$C$1:$C$1001, ,0)=0,"",_xlfn.XLOOKUP(C896,customers!$A$1:$A$1001,customers!$C$1:$C$1001, ,0))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c r="Q896" s="5">
        <f>_xlfn.XLOOKUP(Orders[[#This Row],[Product ID]],products!$A$1:$A$49,products!$G$1:$G$49) *Orders[[#This Row],[Quantity]]</f>
        <v>4.9403999999999995</v>
      </c>
    </row>
    <row r="897" spans="1:17" x14ac:dyDescent="0.25">
      <c r="A897" s="2" t="s">
        <v>5553</v>
      </c>
      <c r="B897" s="3">
        <v>44521</v>
      </c>
      <c r="C897" s="2" t="s">
        <v>5554</v>
      </c>
      <c r="D897" t="s">
        <v>6166</v>
      </c>
      <c r="E897" s="2">
        <v>5</v>
      </c>
      <c r="F897" s="2" t="str">
        <f>_xlfn.XLOOKUP(C897,customers!$A$1:$A$1001,customers!$B$1:$B$1001,,0)</f>
        <v>Derick Snow</v>
      </c>
      <c r="G897" s="2" t="str">
        <f>IF(_xlfn.XLOOKUP(C897,customers!$A$1:$A$1001,customers!$C$1:$C$1001, ,0)=0,"",_xlfn.XLOOKUP(C897,customers!$A$1:$A$1001,customers!$C$1:$C$1001, ,0))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c r="Q897" s="5">
        <f>_xlfn.XLOOKUP(Orders[[#This Row],[Product ID]],products!$A$1:$A$49,products!$G$1:$G$49) *Orders[[#This Row],[Quantity]]</f>
        <v>17.393749999999997</v>
      </c>
    </row>
    <row r="898" spans="1:17" x14ac:dyDescent="0.25">
      <c r="A898" s="2" t="s">
        <v>5558</v>
      </c>
      <c r="B898" s="3">
        <v>44347</v>
      </c>
      <c r="C898" s="2" t="s">
        <v>5559</v>
      </c>
      <c r="D898" t="s">
        <v>6172</v>
      </c>
      <c r="E898" s="2">
        <v>6</v>
      </c>
      <c r="F898" s="2" t="str">
        <f>_xlfn.XLOOKUP(C898,customers!$A$1:$A$1001,customers!$B$1:$B$1001,,0)</f>
        <v>Baxy Cargen</v>
      </c>
      <c r="G898" s="2" t="str">
        <f>IF(_xlfn.XLOOKUP(C898,customers!$A$1:$A$1001,customers!$C$1:$C$1001, ,0)=0,"",_xlfn.XLOOKUP(C898,customers!$A$1:$A$1001,customers!$C$1:$C$1001, ,0))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c r="Q898" s="5">
        <f>_xlfn.XLOOKUP(Orders[[#This Row],[Product ID]],products!$A$1:$A$49,products!$G$1:$G$49) *Orders[[#This Row],[Quantity]]</f>
        <v>1.9331999999999996</v>
      </c>
    </row>
    <row r="899" spans="1:17" x14ac:dyDescent="0.25">
      <c r="A899" s="2" t="s">
        <v>5564</v>
      </c>
      <c r="B899" s="3">
        <v>43932</v>
      </c>
      <c r="C899" s="2" t="s">
        <v>5565</v>
      </c>
      <c r="D899" t="s">
        <v>6183</v>
      </c>
      <c r="E899" s="2">
        <v>2</v>
      </c>
      <c r="F899" s="2" t="str">
        <f>_xlfn.XLOOKUP(C899,customers!$A$1:$A$1001,customers!$B$1:$B$1001,,0)</f>
        <v>Ryann Stickler</v>
      </c>
      <c r="G899" s="2" t="str">
        <f>IF(_xlfn.XLOOKUP(C899,customers!$A$1:$A$1001,customers!$C$1:$C$1001, ,0)=0,"",_xlfn.XLOOKUP(C899,customers!$A$1:$A$1001,customers!$C$1:$C$1001, ,0))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 = "Lib","Liberica"))))</f>
        <v>Excelsa</v>
      </c>
      <c r="O899" t="str">
        <f t="shared" ref="O899:O962" si="44">IF(J899="L","Light",IF(J899="M","Medium",IF(J899="D","Dark")))</f>
        <v>Dark</v>
      </c>
      <c r="P899" t="str">
        <f>_xlfn.XLOOKUP(Orders[[#This Row],[Customer ID]],customers!$A$1:$A$1001,customers!$I$1:$I$1001,,0)</f>
        <v>No</v>
      </c>
      <c r="Q899" s="5">
        <f>_xlfn.XLOOKUP(Orders[[#This Row],[Product ID]],products!$A$1:$A$49,products!$G$1:$G$49) *Orders[[#This Row],[Quantity]]</f>
        <v>2.673</v>
      </c>
    </row>
    <row r="900" spans="1:17" x14ac:dyDescent="0.25">
      <c r="A900" s="2" t="s">
        <v>5570</v>
      </c>
      <c r="B900" s="3">
        <v>44089</v>
      </c>
      <c r="C900" s="2" t="s">
        <v>5571</v>
      </c>
      <c r="D900" t="s">
        <v>6173</v>
      </c>
      <c r="E900" s="2">
        <v>5</v>
      </c>
      <c r="F900" s="2" t="str">
        <f>_xlfn.XLOOKUP(C900,customers!$A$1:$A$1001,customers!$B$1:$B$1001,,0)</f>
        <v>Daryn Cassius</v>
      </c>
      <c r="G900" s="2" t="str">
        <f>IF(_xlfn.XLOOKUP(C900,customers!$A$1:$A$1001,customers!$C$1:$C$1001, ,0)=0,"",_xlfn.XLOOKUP(C900,customers!$A$1:$A$1001,customers!$C$1:$C$1001, ,0))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c r="Q900" s="5">
        <f>_xlfn.XLOOKUP(Orders[[#This Row],[Product ID]],products!$A$1:$A$49,products!$G$1:$G$49) *Orders[[#This Row],[Quantity]]</f>
        <v>2.1509999999999998</v>
      </c>
    </row>
    <row r="901" spans="1:17" x14ac:dyDescent="0.25">
      <c r="A901" s="2" t="s">
        <v>5575</v>
      </c>
      <c r="B901" s="3">
        <v>44523</v>
      </c>
      <c r="C901" s="2" t="s">
        <v>5554</v>
      </c>
      <c r="D901" t="s">
        <v>6162</v>
      </c>
      <c r="E901" s="2">
        <v>5</v>
      </c>
      <c r="F901" s="2" t="str">
        <f>_xlfn.XLOOKUP(C901,customers!$A$1:$A$1001,customers!$B$1:$B$1001,,0)</f>
        <v>Derick Snow</v>
      </c>
      <c r="G901" s="2" t="str">
        <f>IF(_xlfn.XLOOKUP(C901,customers!$A$1:$A$1001,customers!$C$1:$C$1001, ,0)=0,"",_xlfn.XLOOKUP(C901,customers!$A$1:$A$1001,customers!$C$1:$C$1001, ,0))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c r="Q901" s="5">
        <f>_xlfn.XLOOKUP(Orders[[#This Row],[Product ID]],products!$A$1:$A$49,products!$G$1:$G$49) *Orders[[#This Row],[Quantity]]</f>
        <v>9.4575000000000014</v>
      </c>
    </row>
    <row r="902" spans="1:17" x14ac:dyDescent="0.25">
      <c r="A902" s="2" t="s">
        <v>5580</v>
      </c>
      <c r="B902" s="3">
        <v>44584</v>
      </c>
      <c r="C902" s="2" t="s">
        <v>5581</v>
      </c>
      <c r="D902" t="s">
        <v>6170</v>
      </c>
      <c r="E902" s="2">
        <v>3</v>
      </c>
      <c r="F902" s="2" t="str">
        <f>_xlfn.XLOOKUP(C902,customers!$A$1:$A$1001,customers!$B$1:$B$1001,,0)</f>
        <v>Skelly Dolohunty</v>
      </c>
      <c r="G902" s="2" t="str">
        <f>IF(_xlfn.XLOOKUP(C902,customers!$A$1:$A$1001,customers!$C$1:$C$1001, ,0)=0,"",_xlfn.XLOOKUP(C902,customers!$A$1:$A$1001,customers!$C$1:$C$1001, ,0))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c r="Q902" s="5">
        <f>_xlfn.XLOOKUP(Orders[[#This Row],[Product ID]],products!$A$1:$A$49,products!$G$1:$G$49) *Orders[[#This Row],[Quantity]]</f>
        <v>6.1815000000000007</v>
      </c>
    </row>
    <row r="903" spans="1:17" x14ac:dyDescent="0.25">
      <c r="A903" s="2" t="s">
        <v>5585</v>
      </c>
      <c r="B903" s="3">
        <v>44223</v>
      </c>
      <c r="C903" s="2" t="s">
        <v>5586</v>
      </c>
      <c r="D903" t="s">
        <v>6178</v>
      </c>
      <c r="E903" s="2">
        <v>1</v>
      </c>
      <c r="F903" s="2" t="str">
        <f>_xlfn.XLOOKUP(C903,customers!$A$1:$A$1001,customers!$B$1:$B$1001,,0)</f>
        <v>Drake Jevon</v>
      </c>
      <c r="G903" s="2" t="str">
        <f>IF(_xlfn.XLOOKUP(C903,customers!$A$1:$A$1001,customers!$C$1:$C$1001, ,0)=0,"",_xlfn.XLOOKUP(C903,customers!$A$1:$A$1001,customers!$C$1:$C$1001, ,0))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c r="Q903" s="5">
        <f>_xlfn.XLOOKUP(Orders[[#This Row],[Product ID]],products!$A$1:$A$49,products!$G$1:$G$49) *Orders[[#This Row],[Quantity]]</f>
        <v>0.21509999999999996</v>
      </c>
    </row>
    <row r="904" spans="1:17" x14ac:dyDescent="0.25">
      <c r="A904" s="2" t="s">
        <v>5591</v>
      </c>
      <c r="B904" s="3">
        <v>43640</v>
      </c>
      <c r="C904" s="2" t="s">
        <v>5592</v>
      </c>
      <c r="D904" t="s">
        <v>6166</v>
      </c>
      <c r="E904" s="2">
        <v>5</v>
      </c>
      <c r="F904" s="2" t="str">
        <f>_xlfn.XLOOKUP(C904,customers!$A$1:$A$1001,customers!$B$1:$B$1001,,0)</f>
        <v>Hall Ranner</v>
      </c>
      <c r="G904" s="2" t="str">
        <f>IF(_xlfn.XLOOKUP(C904,customers!$A$1:$A$1001,customers!$C$1:$C$1001, ,0)=0,"",_xlfn.XLOOKUP(C904,customers!$A$1:$A$1001,customers!$C$1:$C$1001, ,0))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c r="Q904" s="5">
        <f>_xlfn.XLOOKUP(Orders[[#This Row],[Product ID]],products!$A$1:$A$49,products!$G$1:$G$49) *Orders[[#This Row],[Quantity]]</f>
        <v>17.393749999999997</v>
      </c>
    </row>
    <row r="905" spans="1:17" x14ac:dyDescent="0.25">
      <c r="A905" s="2" t="s">
        <v>5597</v>
      </c>
      <c r="B905" s="3">
        <v>43905</v>
      </c>
      <c r="C905" s="2" t="s">
        <v>5598</v>
      </c>
      <c r="D905" t="s">
        <v>6160</v>
      </c>
      <c r="E905" s="2">
        <v>2</v>
      </c>
      <c r="F905" s="2" t="str">
        <f>_xlfn.XLOOKUP(C905,customers!$A$1:$A$1001,customers!$B$1:$B$1001,,0)</f>
        <v>Berkly Imrie</v>
      </c>
      <c r="G905" s="2" t="str">
        <f>IF(_xlfn.XLOOKUP(C905,customers!$A$1:$A$1001,customers!$C$1:$C$1001, ,0)=0,"",_xlfn.XLOOKUP(C905,customers!$A$1:$A$1001,customers!$C$1:$C$1001, ,0))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c r="Q905" s="5">
        <f>_xlfn.XLOOKUP(Orders[[#This Row],[Product ID]],products!$A$1:$A$49,products!$G$1:$G$49) *Orders[[#This Row],[Quantity]]</f>
        <v>2.2698</v>
      </c>
    </row>
    <row r="906" spans="1:17" x14ac:dyDescent="0.25">
      <c r="A906" s="2" t="s">
        <v>5603</v>
      </c>
      <c r="B906" s="3">
        <v>44463</v>
      </c>
      <c r="C906" s="2" t="s">
        <v>5604</v>
      </c>
      <c r="D906" t="s">
        <v>6182</v>
      </c>
      <c r="E906" s="2">
        <v>5</v>
      </c>
      <c r="F906" s="2" t="str">
        <f>_xlfn.XLOOKUP(C906,customers!$A$1:$A$1001,customers!$B$1:$B$1001,,0)</f>
        <v>Dorey Sopper</v>
      </c>
      <c r="G906" s="2" t="str">
        <f>IF(_xlfn.XLOOKUP(C906,customers!$A$1:$A$1001,customers!$C$1:$C$1001, ,0)=0,"",_xlfn.XLOOKUP(C906,customers!$A$1:$A$1001,customers!$C$1:$C$1001, ,0))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c r="Q906" s="5">
        <f>_xlfn.XLOOKUP(Orders[[#This Row],[Product ID]],products!$A$1:$A$49,products!$G$1:$G$49) *Orders[[#This Row],[Quantity]]</f>
        <v>13.403249999999998</v>
      </c>
    </row>
    <row r="907" spans="1:17" x14ac:dyDescent="0.25">
      <c r="A907" s="2" t="s">
        <v>5609</v>
      </c>
      <c r="B907" s="3">
        <v>43560</v>
      </c>
      <c r="C907" s="2" t="s">
        <v>5610</v>
      </c>
      <c r="D907" t="s">
        <v>6157</v>
      </c>
      <c r="E907" s="2">
        <v>6</v>
      </c>
      <c r="F907" s="2" t="str">
        <f>_xlfn.XLOOKUP(C907,customers!$A$1:$A$1001,customers!$B$1:$B$1001,,0)</f>
        <v>Darcy Lochran</v>
      </c>
      <c r="G907" s="2" t="str">
        <f>IF(_xlfn.XLOOKUP(C907,customers!$A$1:$A$1001,customers!$C$1:$C$1001, ,0)=0,"",_xlfn.XLOOKUP(C907,customers!$A$1:$A$1001,customers!$C$1:$C$1001, ,0))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c r="Q907" s="5">
        <f>_xlfn.XLOOKUP(Orders[[#This Row],[Product ID]],products!$A$1:$A$49,products!$G$1:$G$49) *Orders[[#This Row],[Quantity]]</f>
        <v>3.6449999999999996</v>
      </c>
    </row>
    <row r="908" spans="1:17" x14ac:dyDescent="0.25">
      <c r="A908" s="2" t="s">
        <v>5614</v>
      </c>
      <c r="B908" s="3">
        <v>44588</v>
      </c>
      <c r="C908" s="2" t="s">
        <v>5615</v>
      </c>
      <c r="D908" t="s">
        <v>6157</v>
      </c>
      <c r="E908" s="2">
        <v>4</v>
      </c>
      <c r="F908" s="2" t="str">
        <f>_xlfn.XLOOKUP(C908,customers!$A$1:$A$1001,customers!$B$1:$B$1001,,0)</f>
        <v>Lauritz Ledgley</v>
      </c>
      <c r="G908" s="2" t="str">
        <f>IF(_xlfn.XLOOKUP(C908,customers!$A$1:$A$1001,customers!$C$1:$C$1001, ,0)=0,"",_xlfn.XLOOKUP(C908,customers!$A$1:$A$1001,customers!$C$1:$C$1001, ,0))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c r="Q908" s="5">
        <f>_xlfn.XLOOKUP(Orders[[#This Row],[Product ID]],products!$A$1:$A$49,products!$G$1:$G$49) *Orders[[#This Row],[Quantity]]</f>
        <v>2.4299999999999997</v>
      </c>
    </row>
    <row r="909" spans="1:17" x14ac:dyDescent="0.25">
      <c r="A909" s="2" t="s">
        <v>5620</v>
      </c>
      <c r="B909" s="3">
        <v>44449</v>
      </c>
      <c r="C909" s="2" t="s">
        <v>5621</v>
      </c>
      <c r="D909" t="s">
        <v>6143</v>
      </c>
      <c r="E909" s="2">
        <v>3</v>
      </c>
      <c r="F909" s="2" t="str">
        <f>_xlfn.XLOOKUP(C909,customers!$A$1:$A$1001,customers!$B$1:$B$1001,,0)</f>
        <v>Tawnya Menary</v>
      </c>
      <c r="G909" s="2" t="str">
        <f>IF(_xlfn.XLOOKUP(C909,customers!$A$1:$A$1001,customers!$C$1:$C$1001, ,0)=0,"",_xlfn.XLOOKUP(C909,customers!$A$1:$A$1001,customers!$C$1:$C$1001, ,0))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c r="Q909" s="5">
        <f>_xlfn.XLOOKUP(Orders[[#This Row],[Product ID]],products!$A$1:$A$49,products!$G$1:$G$49) *Orders[[#This Row],[Quantity]]</f>
        <v>5.0504999999999995</v>
      </c>
    </row>
    <row r="910" spans="1:17" x14ac:dyDescent="0.25">
      <c r="A910" s="2" t="s">
        <v>5626</v>
      </c>
      <c r="B910" s="3">
        <v>43836</v>
      </c>
      <c r="C910" s="2" t="s">
        <v>5627</v>
      </c>
      <c r="D910" t="s">
        <v>6179</v>
      </c>
      <c r="E910" s="2">
        <v>5</v>
      </c>
      <c r="F910" s="2" t="str">
        <f>_xlfn.XLOOKUP(C910,customers!$A$1:$A$1001,customers!$B$1:$B$1001,,0)</f>
        <v>Gustaf Ciccotti</v>
      </c>
      <c r="G910" s="2" t="str">
        <f>IF(_xlfn.XLOOKUP(C910,customers!$A$1:$A$1001,customers!$C$1:$C$1001, ,0)=0,"",_xlfn.XLOOKUP(C910,customers!$A$1:$A$1001,customers!$C$1:$C$1001, ,0))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c r="Q910" s="5">
        <f>_xlfn.XLOOKUP(Orders[[#This Row],[Product ID]],products!$A$1:$A$49,products!$G$1:$G$49) *Orders[[#This Row],[Quantity]]</f>
        <v>3.585</v>
      </c>
    </row>
    <row r="911" spans="1:17" x14ac:dyDescent="0.25">
      <c r="A911" s="2" t="s">
        <v>5632</v>
      </c>
      <c r="B911" s="3">
        <v>44635</v>
      </c>
      <c r="C911" s="2" t="s">
        <v>5633</v>
      </c>
      <c r="D911" t="s">
        <v>6178</v>
      </c>
      <c r="E911" s="2">
        <v>3</v>
      </c>
      <c r="F911" s="2" t="str">
        <f>_xlfn.XLOOKUP(C911,customers!$A$1:$A$1001,customers!$B$1:$B$1001,,0)</f>
        <v>Bobbe Renner</v>
      </c>
      <c r="G911" s="2" t="str">
        <f>IF(_xlfn.XLOOKUP(C911,customers!$A$1:$A$1001,customers!$C$1:$C$1001, ,0)=0,"",_xlfn.XLOOKUP(C911,customers!$A$1:$A$1001,customers!$C$1:$C$1001, ,0))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c r="Q911" s="5">
        <f>_xlfn.XLOOKUP(Orders[[#This Row],[Product ID]],products!$A$1:$A$49,products!$G$1:$G$49) *Orders[[#This Row],[Quantity]]</f>
        <v>0.64529999999999987</v>
      </c>
    </row>
    <row r="912" spans="1:17" x14ac:dyDescent="0.25">
      <c r="A912" s="2" t="s">
        <v>5637</v>
      </c>
      <c r="B912" s="3">
        <v>44447</v>
      </c>
      <c r="C912" s="2" t="s">
        <v>5638</v>
      </c>
      <c r="D912" t="s">
        <v>6168</v>
      </c>
      <c r="E912" s="2">
        <v>4</v>
      </c>
      <c r="F912" s="2" t="str">
        <f>_xlfn.XLOOKUP(C912,customers!$A$1:$A$1001,customers!$B$1:$B$1001,,0)</f>
        <v>Wilton Jallin</v>
      </c>
      <c r="G912" s="2" t="str">
        <f>IF(_xlfn.XLOOKUP(C912,customers!$A$1:$A$1001,customers!$C$1:$C$1001, ,0)=0,"",_xlfn.XLOOKUP(C912,customers!$A$1:$A$1001,customers!$C$1:$C$1001, ,0))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c r="Q912" s="5">
        <f>_xlfn.XLOOKUP(Orders[[#This Row],[Product ID]],products!$A$1:$A$49,products!$G$1:$G$49) *Orders[[#This Row],[Quantity]]</f>
        <v>8.2385999999999981</v>
      </c>
    </row>
    <row r="913" spans="1:17" x14ac:dyDescent="0.25">
      <c r="A913" s="2" t="s">
        <v>5643</v>
      </c>
      <c r="B913" s="3">
        <v>44511</v>
      </c>
      <c r="C913" s="2" t="s">
        <v>5644</v>
      </c>
      <c r="D913" t="s">
        <v>6155</v>
      </c>
      <c r="E913" s="2">
        <v>4</v>
      </c>
      <c r="F913" s="2" t="str">
        <f>_xlfn.XLOOKUP(C913,customers!$A$1:$A$1001,customers!$B$1:$B$1001,,0)</f>
        <v>Mindy Bogey</v>
      </c>
      <c r="G913" s="2" t="str">
        <f>IF(_xlfn.XLOOKUP(C913,customers!$A$1:$A$1001,customers!$C$1:$C$1001, ,0)=0,"",_xlfn.XLOOKUP(C913,customers!$A$1:$A$1001,customers!$C$1:$C$1001, ,0))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c r="Q913" s="5">
        <f>_xlfn.XLOOKUP(Orders[[#This Row],[Product ID]],products!$A$1:$A$49,products!$G$1:$G$49) *Orders[[#This Row],[Quantity]]</f>
        <v>4.05</v>
      </c>
    </row>
    <row r="914" spans="1:17" x14ac:dyDescent="0.25">
      <c r="A914" s="2" t="s">
        <v>5649</v>
      </c>
      <c r="B914" s="3">
        <v>43726</v>
      </c>
      <c r="C914" s="2" t="s">
        <v>5650</v>
      </c>
      <c r="D914" t="s">
        <v>6151</v>
      </c>
      <c r="E914" s="2">
        <v>6</v>
      </c>
      <c r="F914" s="2" t="str">
        <f>_xlfn.XLOOKUP(C914,customers!$A$1:$A$1001,customers!$B$1:$B$1001,,0)</f>
        <v>Paulie Fonzone</v>
      </c>
      <c r="G914" s="2" t="str">
        <f>IF(_xlfn.XLOOKUP(C914,customers!$A$1:$A$1001,customers!$C$1:$C$1001, ,0)=0,"",_xlfn.XLOOKUP(C914,customers!$A$1:$A$1001,customers!$C$1:$C$1001, ,0))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c r="Q914" s="5">
        <f>_xlfn.XLOOKUP(Orders[[#This Row],[Product ID]],products!$A$1:$A$49,products!$G$1:$G$49) *Orders[[#This Row],[Quantity]]</f>
        <v>8.2385999999999981</v>
      </c>
    </row>
    <row r="915" spans="1:17"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 ,0)=0,"",_xlfn.XLOOKUP(C915,customers!$A$1:$A$1001,customers!$C$1:$C$1001, ,0))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c r="Q915" s="5">
        <f>_xlfn.XLOOKUP(Orders[[#This Row],[Product ID]],products!$A$1:$A$49,products!$G$1:$G$49) *Orders[[#This Row],[Quantity]]</f>
        <v>0.60749999999999993</v>
      </c>
    </row>
    <row r="916" spans="1:17" x14ac:dyDescent="0.25">
      <c r="A916" s="2" t="s">
        <v>5660</v>
      </c>
      <c r="B916" s="3">
        <v>44640</v>
      </c>
      <c r="C916" s="2" t="s">
        <v>5661</v>
      </c>
      <c r="D916" t="s">
        <v>6155</v>
      </c>
      <c r="E916" s="2">
        <v>4</v>
      </c>
      <c r="F916" s="2" t="str">
        <f>_xlfn.XLOOKUP(C916,customers!$A$1:$A$1001,customers!$B$1:$B$1001,,0)</f>
        <v>Antonius Lewry</v>
      </c>
      <c r="G916" s="2" t="str">
        <f>IF(_xlfn.XLOOKUP(C916,customers!$A$1:$A$1001,customers!$C$1:$C$1001, ,0)=0,"",_xlfn.XLOOKUP(C916,customers!$A$1:$A$1001,customers!$C$1:$C$1001, ,0))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c r="Q916" s="5">
        <f>_xlfn.XLOOKUP(Orders[[#This Row],[Product ID]],products!$A$1:$A$49,products!$G$1:$G$49) *Orders[[#This Row],[Quantity]]</f>
        <v>4.05</v>
      </c>
    </row>
    <row r="917" spans="1:17" x14ac:dyDescent="0.25">
      <c r="A917" s="2" t="s">
        <v>5666</v>
      </c>
      <c r="B917" s="3">
        <v>43955</v>
      </c>
      <c r="C917" s="2" t="s">
        <v>5667</v>
      </c>
      <c r="D917" t="s">
        <v>6185</v>
      </c>
      <c r="E917" s="2">
        <v>3</v>
      </c>
      <c r="F917" s="2" t="str">
        <f>_xlfn.XLOOKUP(C917,customers!$A$1:$A$1001,customers!$B$1:$B$1001,,0)</f>
        <v>Isis Hessel</v>
      </c>
      <c r="G917" s="2" t="str">
        <f>IF(_xlfn.XLOOKUP(C917,customers!$A$1:$A$1001,customers!$C$1:$C$1001, ,0)=0,"",_xlfn.XLOOKUP(C917,customers!$A$1:$A$1001,customers!$C$1:$C$1001, ,0))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c r="Q917" s="5">
        <f>_xlfn.XLOOKUP(Orders[[#This Row],[Product ID]],products!$A$1:$A$49,products!$G$1:$G$49) *Orders[[#This Row],[Quantity]]</f>
        <v>9.2218499999999999</v>
      </c>
    </row>
    <row r="918" spans="1:17"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 ,0)=0,"",_xlfn.XLOOKUP(C918,customers!$A$1:$A$1001,customers!$C$1:$C$1001, ,0))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c r="Q918" s="5">
        <f>_xlfn.XLOOKUP(Orders[[#This Row],[Product ID]],products!$A$1:$A$49,products!$G$1:$G$49) *Orders[[#This Row],[Quantity]]</f>
        <v>0.40095000000000003</v>
      </c>
    </row>
    <row r="919" spans="1:17" x14ac:dyDescent="0.25">
      <c r="A919" s="2" t="s">
        <v>5676</v>
      </c>
      <c r="B919" s="3">
        <v>44573</v>
      </c>
      <c r="C919" s="2" t="s">
        <v>5677</v>
      </c>
      <c r="D919" t="s">
        <v>6157</v>
      </c>
      <c r="E919" s="2">
        <v>1</v>
      </c>
      <c r="F919" s="2" t="str">
        <f>_xlfn.XLOOKUP(C919,customers!$A$1:$A$1001,customers!$B$1:$B$1001,,0)</f>
        <v>Chloris Sorrell</v>
      </c>
      <c r="G919" s="2" t="str">
        <f>IF(_xlfn.XLOOKUP(C919,customers!$A$1:$A$1001,customers!$C$1:$C$1001, ,0)=0,"",_xlfn.XLOOKUP(C919,customers!$A$1:$A$1001,customers!$C$1:$C$1001, ,0))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c r="Q919" s="5">
        <f>_xlfn.XLOOKUP(Orders[[#This Row],[Product ID]],products!$A$1:$A$49,products!$G$1:$G$49) *Orders[[#This Row],[Quantity]]</f>
        <v>0.60749999999999993</v>
      </c>
    </row>
    <row r="920" spans="1:17" x14ac:dyDescent="0.25">
      <c r="A920" s="2" t="s">
        <v>5676</v>
      </c>
      <c r="B920" s="3">
        <v>44573</v>
      </c>
      <c r="C920" s="2" t="s">
        <v>5677</v>
      </c>
      <c r="D920" t="s">
        <v>6144</v>
      </c>
      <c r="E920" s="2">
        <v>3</v>
      </c>
      <c r="F920" s="2" t="str">
        <f>_xlfn.XLOOKUP(C920,customers!$A$1:$A$1001,customers!$B$1:$B$1001,,0)</f>
        <v>Chloris Sorrell</v>
      </c>
      <c r="G920" s="2" t="str">
        <f>IF(_xlfn.XLOOKUP(C920,customers!$A$1:$A$1001,customers!$C$1:$C$1001, ,0)=0,"",_xlfn.XLOOKUP(C920,customers!$A$1:$A$1001,customers!$C$1:$C$1001, ,0))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c r="Q920" s="5">
        <f>_xlfn.XLOOKUP(Orders[[#This Row],[Product ID]],products!$A$1:$A$49,products!$G$1:$G$49) *Orders[[#This Row],[Quantity]]</f>
        <v>2.4057000000000004</v>
      </c>
    </row>
    <row r="921" spans="1:17"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 ,0)=0,"",_xlfn.XLOOKUP(C921,customers!$A$1:$A$1001,customers!$C$1:$C$1001, ,0))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c r="Q921" s="5">
        <f>_xlfn.XLOOKUP(Orders[[#This Row],[Product ID]],products!$A$1:$A$49,products!$G$1:$G$49) *Orders[[#This Row],[Quantity]]</f>
        <v>0.80549999999999988</v>
      </c>
    </row>
    <row r="922" spans="1:17" x14ac:dyDescent="0.25">
      <c r="A922" s="2" t="s">
        <v>5693</v>
      </c>
      <c r="B922" s="3">
        <v>44711</v>
      </c>
      <c r="C922" s="2" t="s">
        <v>5694</v>
      </c>
      <c r="D922" t="s">
        <v>6149</v>
      </c>
      <c r="E922" s="2">
        <v>6</v>
      </c>
      <c r="F922" s="2" t="str">
        <f>_xlfn.XLOOKUP(C922,customers!$A$1:$A$1001,customers!$B$1:$B$1001,,0)</f>
        <v>Hadley Reuven</v>
      </c>
      <c r="G922" s="2" t="str">
        <f>IF(_xlfn.XLOOKUP(C922,customers!$A$1:$A$1001,customers!$C$1:$C$1001, ,0)=0,"",_xlfn.XLOOKUP(C922,customers!$A$1:$A$1001,customers!$C$1:$C$1001, ,0))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c r="Q922" s="5">
        <f>_xlfn.XLOOKUP(Orders[[#This Row],[Product ID]],products!$A$1:$A$49,products!$G$1:$G$49) *Orders[[#This Row],[Quantity]]</f>
        <v>7.4105999999999987</v>
      </c>
    </row>
    <row r="923" spans="1:17" x14ac:dyDescent="0.25">
      <c r="A923" s="2" t="s">
        <v>5699</v>
      </c>
      <c r="B923" s="3">
        <v>44509</v>
      </c>
      <c r="C923" s="2" t="s">
        <v>5700</v>
      </c>
      <c r="D923" t="s">
        <v>6150</v>
      </c>
      <c r="E923" s="2">
        <v>2</v>
      </c>
      <c r="F923" s="2" t="str">
        <f>_xlfn.XLOOKUP(C923,customers!$A$1:$A$1001,customers!$B$1:$B$1001,,0)</f>
        <v>Mitch Attwool</v>
      </c>
      <c r="G923" s="2" t="str">
        <f>IF(_xlfn.XLOOKUP(C923,customers!$A$1:$A$1001,customers!$C$1:$C$1001, ,0)=0,"",_xlfn.XLOOKUP(C923,customers!$A$1:$A$1001,customers!$C$1:$C$1001, ,0))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c r="Q923" s="5">
        <f>_xlfn.XLOOKUP(Orders[[#This Row],[Product ID]],products!$A$1:$A$49,products!$G$1:$G$49) *Orders[[#This Row],[Quantity]]</f>
        <v>1.0101</v>
      </c>
    </row>
    <row r="924" spans="1:17"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 ,0)=0,"",_xlfn.XLOOKUP(C924,customers!$A$1:$A$1001,customers!$C$1:$C$1001, ,0))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c r="Q924" s="5">
        <f>_xlfn.XLOOKUP(Orders[[#This Row],[Product ID]],products!$A$1:$A$49,products!$G$1:$G$49) *Orders[[#This Row],[Quantity]]</f>
        <v>6.0749999999999993</v>
      </c>
    </row>
    <row r="925" spans="1:17" x14ac:dyDescent="0.25">
      <c r="A925" s="2" t="s">
        <v>5709</v>
      </c>
      <c r="B925" s="3">
        <v>43746</v>
      </c>
      <c r="C925" s="2" t="s">
        <v>5710</v>
      </c>
      <c r="D925" t="s">
        <v>6185</v>
      </c>
      <c r="E925" s="2">
        <v>1</v>
      </c>
      <c r="F925" s="2" t="str">
        <f>_xlfn.XLOOKUP(C925,customers!$A$1:$A$1001,customers!$B$1:$B$1001,,0)</f>
        <v>Goldie Wynes</v>
      </c>
      <c r="G925" s="2" t="str">
        <f>IF(_xlfn.XLOOKUP(C925,customers!$A$1:$A$1001,customers!$C$1:$C$1001, ,0)=0,"",_xlfn.XLOOKUP(C925,customers!$A$1:$A$1001,customers!$C$1:$C$1001, ,0))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c r="Q925" s="5">
        <f>_xlfn.XLOOKUP(Orders[[#This Row],[Product ID]],products!$A$1:$A$49,products!$G$1:$G$49) *Orders[[#This Row],[Quantity]]</f>
        <v>3.07395</v>
      </c>
    </row>
    <row r="926" spans="1:17" x14ac:dyDescent="0.25">
      <c r="A926" s="2" t="s">
        <v>5715</v>
      </c>
      <c r="B926" s="3">
        <v>44451</v>
      </c>
      <c r="C926" s="2" t="s">
        <v>5716</v>
      </c>
      <c r="D926" t="s">
        <v>6182</v>
      </c>
      <c r="E926" s="2">
        <v>3</v>
      </c>
      <c r="F926" s="2" t="str">
        <f>_xlfn.XLOOKUP(C926,customers!$A$1:$A$1001,customers!$B$1:$B$1001,,0)</f>
        <v>Celie MacCourt</v>
      </c>
      <c r="G926" s="2" t="str">
        <f>IF(_xlfn.XLOOKUP(C926,customers!$A$1:$A$1001,customers!$C$1:$C$1001, ,0)=0,"",_xlfn.XLOOKUP(C926,customers!$A$1:$A$1001,customers!$C$1:$C$1001, ,0))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c r="Q926" s="5">
        <f>_xlfn.XLOOKUP(Orders[[#This Row],[Product ID]],products!$A$1:$A$49,products!$G$1:$G$49) *Orders[[#This Row],[Quantity]]</f>
        <v>8.0419499999999982</v>
      </c>
    </row>
    <row r="927" spans="1:17" x14ac:dyDescent="0.25">
      <c r="A927" s="2" t="s">
        <v>5720</v>
      </c>
      <c r="B927" s="3">
        <v>44770</v>
      </c>
      <c r="C927" s="2" t="s">
        <v>5554</v>
      </c>
      <c r="D927" t="s">
        <v>6157</v>
      </c>
      <c r="E927" s="2">
        <v>3</v>
      </c>
      <c r="F927" s="2" t="str">
        <f>_xlfn.XLOOKUP(C927,customers!$A$1:$A$1001,customers!$B$1:$B$1001,,0)</f>
        <v>Derick Snow</v>
      </c>
      <c r="G927" s="2" t="str">
        <f>IF(_xlfn.XLOOKUP(C927,customers!$A$1:$A$1001,customers!$C$1:$C$1001, ,0)=0,"",_xlfn.XLOOKUP(C927,customers!$A$1:$A$1001,customers!$C$1:$C$1001, ,0))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c r="Q927" s="5">
        <f>_xlfn.XLOOKUP(Orders[[#This Row],[Product ID]],products!$A$1:$A$49,products!$G$1:$G$49) *Orders[[#This Row],[Quantity]]</f>
        <v>1.8224999999999998</v>
      </c>
    </row>
    <row r="928" spans="1:17" x14ac:dyDescent="0.25">
      <c r="A928" s="2" t="s">
        <v>5725</v>
      </c>
      <c r="B928" s="3">
        <v>44012</v>
      </c>
      <c r="C928" s="2" t="s">
        <v>5726</v>
      </c>
      <c r="D928" t="s">
        <v>6157</v>
      </c>
      <c r="E928" s="2">
        <v>5</v>
      </c>
      <c r="F928" s="2" t="str">
        <f>_xlfn.XLOOKUP(C928,customers!$A$1:$A$1001,customers!$B$1:$B$1001,,0)</f>
        <v>Evy Wilsone</v>
      </c>
      <c r="G928" s="2" t="str">
        <f>IF(_xlfn.XLOOKUP(C928,customers!$A$1:$A$1001,customers!$C$1:$C$1001, ,0)=0,"",_xlfn.XLOOKUP(C928,customers!$A$1:$A$1001,customers!$C$1:$C$1001, ,0))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c r="Q928" s="5">
        <f>_xlfn.XLOOKUP(Orders[[#This Row],[Product ID]],products!$A$1:$A$49,products!$G$1:$G$49) *Orders[[#This Row],[Quantity]]</f>
        <v>3.0374999999999996</v>
      </c>
    </row>
    <row r="929" spans="1:17" x14ac:dyDescent="0.25">
      <c r="A929" s="2" t="s">
        <v>5731</v>
      </c>
      <c r="B929" s="3">
        <v>43474</v>
      </c>
      <c r="C929" s="2" t="s">
        <v>5732</v>
      </c>
      <c r="D929" t="s">
        <v>6185</v>
      </c>
      <c r="E929" s="2">
        <v>4</v>
      </c>
      <c r="F929" s="2" t="str">
        <f>_xlfn.XLOOKUP(C929,customers!$A$1:$A$1001,customers!$B$1:$B$1001,,0)</f>
        <v>Dolores Duffie</v>
      </c>
      <c r="G929" s="2" t="str">
        <f>IF(_xlfn.XLOOKUP(C929,customers!$A$1:$A$1001,customers!$C$1:$C$1001, ,0)=0,"",_xlfn.XLOOKUP(C929,customers!$A$1:$A$1001,customers!$C$1:$C$1001, ,0))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c r="Q929" s="5">
        <f>_xlfn.XLOOKUP(Orders[[#This Row],[Product ID]],products!$A$1:$A$49,products!$G$1:$G$49) *Orders[[#This Row],[Quantity]]</f>
        <v>12.2958</v>
      </c>
    </row>
    <row r="930" spans="1:17"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 ,0)=0,"",_xlfn.XLOOKUP(C930,customers!$A$1:$A$1001,customers!$C$1:$C$1001, ,0))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c r="Q930" s="5">
        <f>_xlfn.XLOOKUP(Orders[[#This Row],[Product ID]],products!$A$1:$A$49,products!$G$1:$G$49) *Orders[[#This Row],[Quantity]]</f>
        <v>6.9574999999999996</v>
      </c>
    </row>
    <row r="931" spans="1:17" x14ac:dyDescent="0.25">
      <c r="A931" s="2" t="s">
        <v>5742</v>
      </c>
      <c r="B931" s="3">
        <v>44165</v>
      </c>
      <c r="C931" s="2" t="s">
        <v>5743</v>
      </c>
      <c r="D931" t="s">
        <v>6184</v>
      </c>
      <c r="E931" s="2">
        <v>2</v>
      </c>
      <c r="F931" s="2" t="str">
        <f>_xlfn.XLOOKUP(C931,customers!$A$1:$A$1001,customers!$B$1:$B$1001,,0)</f>
        <v>Jarred Camillo</v>
      </c>
      <c r="G931" s="2" t="str">
        <f>IF(_xlfn.XLOOKUP(C931,customers!$A$1:$A$1001,customers!$C$1:$C$1001, ,0)=0,"",_xlfn.XLOOKUP(C931,customers!$A$1:$A$1001,customers!$C$1:$C$1001, ,0))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c r="Q931" s="5">
        <f>_xlfn.XLOOKUP(Orders[[#This Row],[Product ID]],products!$A$1:$A$49,products!$G$1:$G$49) *Orders[[#This Row],[Quantity]]</f>
        <v>0.98009999999999997</v>
      </c>
    </row>
    <row r="932" spans="1:17" x14ac:dyDescent="0.25">
      <c r="A932" s="2" t="s">
        <v>5748</v>
      </c>
      <c r="B932" s="3">
        <v>43546</v>
      </c>
      <c r="C932" s="2" t="s">
        <v>5749</v>
      </c>
      <c r="D932" t="s">
        <v>6183</v>
      </c>
      <c r="E932" s="2">
        <v>1</v>
      </c>
      <c r="F932" s="2" t="str">
        <f>_xlfn.XLOOKUP(C932,customers!$A$1:$A$1001,customers!$B$1:$B$1001,,0)</f>
        <v>Kameko Philbrick</v>
      </c>
      <c r="G932" s="2" t="str">
        <f>IF(_xlfn.XLOOKUP(C932,customers!$A$1:$A$1001,customers!$C$1:$C$1001, ,0)=0,"",_xlfn.XLOOKUP(C932,customers!$A$1:$A$1001,customers!$C$1:$C$1001, ,0))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c r="Q932" s="5">
        <f>_xlfn.XLOOKUP(Orders[[#This Row],[Product ID]],products!$A$1:$A$49,products!$G$1:$G$49) *Orders[[#This Row],[Quantity]]</f>
        <v>1.3365</v>
      </c>
    </row>
    <row r="933" spans="1:17"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 ,0)=0,"",_xlfn.XLOOKUP(C933,customers!$A$1:$A$1001,customers!$C$1:$C$1001, ,0))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c r="Q933" s="5">
        <f>_xlfn.XLOOKUP(Orders[[#This Row],[Product ID]],products!$A$1:$A$49,products!$G$1:$G$49) *Orders[[#This Row],[Quantity]]</f>
        <v>2.1492</v>
      </c>
    </row>
    <row r="934" spans="1:17" x14ac:dyDescent="0.25">
      <c r="A934" s="2" t="s">
        <v>5757</v>
      </c>
      <c r="B934" s="3">
        <v>44117</v>
      </c>
      <c r="C934" s="2" t="s">
        <v>5758</v>
      </c>
      <c r="D934" t="s">
        <v>6141</v>
      </c>
      <c r="E934" s="2">
        <v>4</v>
      </c>
      <c r="F934" s="2" t="str">
        <f>_xlfn.XLOOKUP(C934,customers!$A$1:$A$1001,customers!$B$1:$B$1001,,0)</f>
        <v>Barnett Sillis</v>
      </c>
      <c r="G934" s="2" t="str">
        <f>IF(_xlfn.XLOOKUP(C934,customers!$A$1:$A$1001,customers!$C$1:$C$1001, ,0)=0,"",_xlfn.XLOOKUP(C934,customers!$A$1:$A$1001,customers!$C$1:$C$1001, ,0))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c r="Q934" s="5">
        <f>_xlfn.XLOOKUP(Orders[[#This Row],[Product ID]],products!$A$1:$A$49,products!$G$1:$G$49) *Orders[[#This Row],[Quantity]]</f>
        <v>6.05</v>
      </c>
    </row>
    <row r="935" spans="1:17" x14ac:dyDescent="0.25">
      <c r="A935" s="2" t="s">
        <v>5763</v>
      </c>
      <c r="B935" s="3">
        <v>44557</v>
      </c>
      <c r="C935" s="2" t="s">
        <v>5764</v>
      </c>
      <c r="D935" t="s">
        <v>6177</v>
      </c>
      <c r="E935" s="2">
        <v>3</v>
      </c>
      <c r="F935" s="2" t="str">
        <f>_xlfn.XLOOKUP(C935,customers!$A$1:$A$1001,customers!$B$1:$B$1001,,0)</f>
        <v>Brenn Dundredge</v>
      </c>
      <c r="G935" s="2" t="str">
        <f>IF(_xlfn.XLOOKUP(C935,customers!$A$1:$A$1001,customers!$C$1:$C$1001, ,0)=0,"",_xlfn.XLOOKUP(C935,customers!$A$1:$A$1001,customers!$C$1:$C$1001, ,0))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c r="Q935" s="5">
        <f>_xlfn.XLOOKUP(Orders[[#This Row],[Product ID]],products!$A$1:$A$49,products!$G$1:$G$49) *Orders[[#This Row],[Quantity]]</f>
        <v>1.6109999999999998</v>
      </c>
    </row>
    <row r="936" spans="1:17" x14ac:dyDescent="0.25">
      <c r="A936" s="2" t="s">
        <v>5768</v>
      </c>
      <c r="B936" s="3">
        <v>44409</v>
      </c>
      <c r="C936" s="2" t="s">
        <v>5769</v>
      </c>
      <c r="D936" t="s">
        <v>6151</v>
      </c>
      <c r="E936" s="2">
        <v>5</v>
      </c>
      <c r="F936" s="2" t="str">
        <f>_xlfn.XLOOKUP(C936,customers!$A$1:$A$1001,customers!$B$1:$B$1001,,0)</f>
        <v>Read Cutts</v>
      </c>
      <c r="G936" s="2" t="str">
        <f>IF(_xlfn.XLOOKUP(C936,customers!$A$1:$A$1001,customers!$C$1:$C$1001, ,0)=0,"",_xlfn.XLOOKUP(C936,customers!$A$1:$A$1001,customers!$C$1:$C$1001, ,0))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c r="Q936" s="5">
        <f>_xlfn.XLOOKUP(Orders[[#This Row],[Product ID]],products!$A$1:$A$49,products!$G$1:$G$49) *Orders[[#This Row],[Quantity]]</f>
        <v>6.865499999999999</v>
      </c>
    </row>
    <row r="937" spans="1:17" x14ac:dyDescent="0.25">
      <c r="A937" s="2" t="s">
        <v>5774</v>
      </c>
      <c r="B937" s="3">
        <v>44153</v>
      </c>
      <c r="C937" s="2" t="s">
        <v>5775</v>
      </c>
      <c r="D937" t="s">
        <v>6175</v>
      </c>
      <c r="E937" s="2">
        <v>6</v>
      </c>
      <c r="F937" s="2" t="str">
        <f>_xlfn.XLOOKUP(C937,customers!$A$1:$A$1001,customers!$B$1:$B$1001,,0)</f>
        <v>Michale Delves</v>
      </c>
      <c r="G937" s="2" t="str">
        <f>IF(_xlfn.XLOOKUP(C937,customers!$A$1:$A$1001,customers!$C$1:$C$1001, ,0)=0,"",_xlfn.XLOOKUP(C937,customers!$A$1:$A$1001,customers!$C$1:$C$1001, ,0))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c r="Q937" s="5">
        <f>_xlfn.XLOOKUP(Orders[[#This Row],[Product ID]],products!$A$1:$A$49,products!$G$1:$G$49) *Orders[[#This Row],[Quantity]]</f>
        <v>13.972499999999997</v>
      </c>
    </row>
    <row r="938" spans="1:17" x14ac:dyDescent="0.25">
      <c r="A938" s="2" t="s">
        <v>5780</v>
      </c>
      <c r="B938" s="3">
        <v>44493</v>
      </c>
      <c r="C938" s="2" t="s">
        <v>5781</v>
      </c>
      <c r="D938" t="s">
        <v>6169</v>
      </c>
      <c r="E938" s="2">
        <v>3</v>
      </c>
      <c r="F938" s="2" t="str">
        <f>_xlfn.XLOOKUP(C938,customers!$A$1:$A$1001,customers!$B$1:$B$1001,,0)</f>
        <v>Devland Gritton</v>
      </c>
      <c r="G938" s="2" t="str">
        <f>IF(_xlfn.XLOOKUP(C938,customers!$A$1:$A$1001,customers!$C$1:$C$1001, ,0)=0,"",_xlfn.XLOOKUP(C938,customers!$A$1:$A$1001,customers!$C$1:$C$1001, ,0))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c r="Q938" s="5">
        <f>_xlfn.XLOOKUP(Orders[[#This Row],[Product ID]],products!$A$1:$A$49,products!$G$1:$G$49) *Orders[[#This Row],[Quantity]]</f>
        <v>3.0303</v>
      </c>
    </row>
    <row r="939" spans="1:17" x14ac:dyDescent="0.25">
      <c r="A939" s="2" t="s">
        <v>5780</v>
      </c>
      <c r="B939" s="3">
        <v>44493</v>
      </c>
      <c r="C939" s="2" t="s">
        <v>5781</v>
      </c>
      <c r="D939" t="s">
        <v>6151</v>
      </c>
      <c r="E939" s="2">
        <v>4</v>
      </c>
      <c r="F939" s="2" t="str">
        <f>_xlfn.XLOOKUP(C939,customers!$A$1:$A$1001,customers!$B$1:$B$1001,,0)</f>
        <v>Devland Gritton</v>
      </c>
      <c r="G939" s="2" t="str">
        <f>IF(_xlfn.XLOOKUP(C939,customers!$A$1:$A$1001,customers!$C$1:$C$1001, ,0)=0,"",_xlfn.XLOOKUP(C939,customers!$A$1:$A$1001,customers!$C$1:$C$1001, ,0))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c r="Q939" s="5">
        <f>_xlfn.XLOOKUP(Orders[[#This Row],[Product ID]],products!$A$1:$A$49,products!$G$1:$G$49) *Orders[[#This Row],[Quantity]]</f>
        <v>5.4923999999999991</v>
      </c>
    </row>
    <row r="940" spans="1:17" x14ac:dyDescent="0.25">
      <c r="A940" s="2" t="s">
        <v>5791</v>
      </c>
      <c r="B940" s="3">
        <v>43829</v>
      </c>
      <c r="C940" s="2" t="s">
        <v>5792</v>
      </c>
      <c r="D940" t="s">
        <v>6171</v>
      </c>
      <c r="E940" s="2">
        <v>5</v>
      </c>
      <c r="F940" s="2" t="str">
        <f>_xlfn.XLOOKUP(C940,customers!$A$1:$A$1001,customers!$B$1:$B$1001,,0)</f>
        <v>Dell Gut</v>
      </c>
      <c r="G940" s="2" t="str">
        <f>IF(_xlfn.XLOOKUP(C940,customers!$A$1:$A$1001,customers!$C$1:$C$1001, ,0)=0,"",_xlfn.XLOOKUP(C940,customers!$A$1:$A$1001,customers!$C$1:$C$1001, ,0))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c r="Q940" s="5">
        <f>_xlfn.XLOOKUP(Orders[[#This Row],[Product ID]],products!$A$1:$A$49,products!$G$1:$G$49) *Orders[[#This Row],[Quantity]]</f>
        <v>8.1675000000000004</v>
      </c>
    </row>
    <row r="941" spans="1:17" x14ac:dyDescent="0.25">
      <c r="A941" s="2" t="s">
        <v>5797</v>
      </c>
      <c r="B941" s="3">
        <v>44229</v>
      </c>
      <c r="C941" s="2" t="s">
        <v>5798</v>
      </c>
      <c r="D941" t="s">
        <v>6145</v>
      </c>
      <c r="E941" s="2">
        <v>6</v>
      </c>
      <c r="F941" s="2" t="str">
        <f>_xlfn.XLOOKUP(C941,customers!$A$1:$A$1001,customers!$B$1:$B$1001,,0)</f>
        <v>Willy Pummery</v>
      </c>
      <c r="G941" s="2" t="str">
        <f>IF(_xlfn.XLOOKUP(C941,customers!$A$1:$A$1001,customers!$C$1:$C$1001, ,0)=0,"",_xlfn.XLOOKUP(C941,customers!$A$1:$A$1001,customers!$C$1:$C$1001, ,0))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c r="Q941" s="5">
        <f>_xlfn.XLOOKUP(Orders[[#This Row],[Product ID]],products!$A$1:$A$49,products!$G$1:$G$49) *Orders[[#This Row],[Quantity]]</f>
        <v>3.7088999999999999</v>
      </c>
    </row>
    <row r="942" spans="1:17" x14ac:dyDescent="0.25">
      <c r="A942" s="2" t="s">
        <v>5803</v>
      </c>
      <c r="B942" s="3">
        <v>44332</v>
      </c>
      <c r="C942" s="2" t="s">
        <v>5804</v>
      </c>
      <c r="D942" t="s">
        <v>6173</v>
      </c>
      <c r="E942" s="2">
        <v>2</v>
      </c>
      <c r="F942" s="2" t="str">
        <f>_xlfn.XLOOKUP(C942,customers!$A$1:$A$1001,customers!$B$1:$B$1001,,0)</f>
        <v>Geoffrey Siuda</v>
      </c>
      <c r="G942" s="2" t="str">
        <f>IF(_xlfn.XLOOKUP(C942,customers!$A$1:$A$1001,customers!$C$1:$C$1001, ,0)=0,"",_xlfn.XLOOKUP(C942,customers!$A$1:$A$1001,customers!$C$1:$C$1001, ,0))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c r="Q942" s="5">
        <f>_xlfn.XLOOKUP(Orders[[#This Row],[Product ID]],products!$A$1:$A$49,products!$G$1:$G$49) *Orders[[#This Row],[Quantity]]</f>
        <v>0.86039999999999983</v>
      </c>
    </row>
    <row r="943" spans="1:17" x14ac:dyDescent="0.25">
      <c r="A943" s="2" t="s">
        <v>5809</v>
      </c>
      <c r="B943" s="3">
        <v>44674</v>
      </c>
      <c r="C943" s="2" t="s">
        <v>5810</v>
      </c>
      <c r="D943" t="s">
        <v>6180</v>
      </c>
      <c r="E943" s="2">
        <v>2</v>
      </c>
      <c r="F943" s="2" t="str">
        <f>_xlfn.XLOOKUP(C943,customers!$A$1:$A$1001,customers!$B$1:$B$1001,,0)</f>
        <v>Henderson Crowne</v>
      </c>
      <c r="G943" s="2" t="str">
        <f>IF(_xlfn.XLOOKUP(C943,customers!$A$1:$A$1001,customers!$C$1:$C$1001, ,0)=0,"",_xlfn.XLOOKUP(C943,customers!$A$1:$A$1001,customers!$C$1:$C$1001, ,0))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c r="Q943" s="5">
        <f>_xlfn.XLOOKUP(Orders[[#This Row],[Product ID]],products!$A$1:$A$49,products!$G$1:$G$49) *Orders[[#This Row],[Quantity]]</f>
        <v>1.3985999999999998</v>
      </c>
    </row>
    <row r="944" spans="1:17" x14ac:dyDescent="0.25">
      <c r="A944" s="2" t="s">
        <v>5816</v>
      </c>
      <c r="B944" s="3">
        <v>44464</v>
      </c>
      <c r="C944" s="2" t="s">
        <v>5817</v>
      </c>
      <c r="D944" t="s">
        <v>6179</v>
      </c>
      <c r="E944" s="2">
        <v>3</v>
      </c>
      <c r="F944" s="2" t="str">
        <f>_xlfn.XLOOKUP(C944,customers!$A$1:$A$1001,customers!$B$1:$B$1001,,0)</f>
        <v>Vernor Pawsey</v>
      </c>
      <c r="G944" s="2" t="str">
        <f>IF(_xlfn.XLOOKUP(C944,customers!$A$1:$A$1001,customers!$C$1:$C$1001, ,0)=0,"",_xlfn.XLOOKUP(C944,customers!$A$1:$A$1001,customers!$C$1:$C$1001, ,0))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c r="Q944" s="5">
        <f>_xlfn.XLOOKUP(Orders[[#This Row],[Product ID]],products!$A$1:$A$49,products!$G$1:$G$49) *Orders[[#This Row],[Quantity]]</f>
        <v>2.1509999999999998</v>
      </c>
    </row>
    <row r="945" spans="1:17"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 ,0)=0,"",_xlfn.XLOOKUP(C945,customers!$A$1:$A$1001,customers!$C$1:$C$1001, ,0))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c r="Q945" s="5">
        <f>_xlfn.XLOOKUP(Orders[[#This Row],[Product ID]],products!$A$1:$A$49,products!$G$1:$G$49) *Orders[[#This Row],[Quantity]]</f>
        <v>4.1957999999999993</v>
      </c>
    </row>
    <row r="946" spans="1:17" x14ac:dyDescent="0.25">
      <c r="A946" s="2" t="s">
        <v>5828</v>
      </c>
      <c r="B946" s="3">
        <v>44054</v>
      </c>
      <c r="C946" s="2" t="s">
        <v>5829</v>
      </c>
      <c r="D946" t="s">
        <v>6173</v>
      </c>
      <c r="E946" s="2">
        <v>5</v>
      </c>
      <c r="F946" s="2" t="str">
        <f>_xlfn.XLOOKUP(C946,customers!$A$1:$A$1001,customers!$B$1:$B$1001,,0)</f>
        <v>Fanchon Haughian</v>
      </c>
      <c r="G946" s="2" t="str">
        <f>IF(_xlfn.XLOOKUP(C946,customers!$A$1:$A$1001,customers!$C$1:$C$1001, ,0)=0,"",_xlfn.XLOOKUP(C946,customers!$A$1:$A$1001,customers!$C$1:$C$1001, ,0))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c r="Q946" s="5">
        <f>_xlfn.XLOOKUP(Orders[[#This Row],[Product ID]],products!$A$1:$A$49,products!$G$1:$G$49) *Orders[[#This Row],[Quantity]]</f>
        <v>2.1509999999999998</v>
      </c>
    </row>
    <row r="947" spans="1:17" x14ac:dyDescent="0.25">
      <c r="A947" s="2" t="s">
        <v>5834</v>
      </c>
      <c r="B947" s="3">
        <v>43524</v>
      </c>
      <c r="C947" s="2" t="s">
        <v>5835</v>
      </c>
      <c r="D947" t="s">
        <v>6165</v>
      </c>
      <c r="E947" s="2">
        <v>4</v>
      </c>
      <c r="F947" s="2" t="str">
        <f>_xlfn.XLOOKUP(C947,customers!$A$1:$A$1001,customers!$B$1:$B$1001,,0)</f>
        <v>Jaimie Hatz</v>
      </c>
      <c r="G947" s="2" t="str">
        <f>IF(_xlfn.XLOOKUP(C947,customers!$A$1:$A$1001,customers!$C$1:$C$1001, ,0)=0,"",_xlfn.XLOOKUP(C947,customers!$A$1:$A$1001,customers!$C$1:$C$1001, ,0))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c r="Q947" s="5">
        <f>_xlfn.XLOOKUP(Orders[[#This Row],[Product ID]],products!$A$1:$A$49,products!$G$1:$G$49) *Orders[[#This Row],[Quantity]]</f>
        <v>15.488199999999999</v>
      </c>
    </row>
    <row r="948" spans="1:17" x14ac:dyDescent="0.25">
      <c r="A948" s="2" t="s">
        <v>5839</v>
      </c>
      <c r="B948" s="3">
        <v>43719</v>
      </c>
      <c r="C948" s="2" t="s">
        <v>5840</v>
      </c>
      <c r="D948" t="s">
        <v>6169</v>
      </c>
      <c r="E948" s="2">
        <v>3</v>
      </c>
      <c r="F948" s="2" t="str">
        <f>_xlfn.XLOOKUP(C948,customers!$A$1:$A$1001,customers!$B$1:$B$1001,,0)</f>
        <v>Edeline Edney</v>
      </c>
      <c r="G948" s="2" t="str">
        <f>IF(_xlfn.XLOOKUP(C948,customers!$A$1:$A$1001,customers!$C$1:$C$1001, ,0)=0,"",_xlfn.XLOOKUP(C948,customers!$A$1:$A$1001,customers!$C$1:$C$1001, ,0))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c r="Q948" s="5">
        <f>_xlfn.XLOOKUP(Orders[[#This Row],[Product ID]],products!$A$1:$A$49,products!$G$1:$G$49) *Orders[[#This Row],[Quantity]]</f>
        <v>3.0303</v>
      </c>
    </row>
    <row r="949" spans="1:17" x14ac:dyDescent="0.25">
      <c r="A949" s="2" t="s">
        <v>5844</v>
      </c>
      <c r="B949" s="3">
        <v>44294</v>
      </c>
      <c r="C949" s="2" t="s">
        <v>5845</v>
      </c>
      <c r="D949" t="s">
        <v>6155</v>
      </c>
      <c r="E949" s="2">
        <v>1</v>
      </c>
      <c r="F949" s="2" t="str">
        <f>_xlfn.XLOOKUP(C949,customers!$A$1:$A$1001,customers!$B$1:$B$1001,,0)</f>
        <v>Rickie Faltin</v>
      </c>
      <c r="G949" s="2" t="str">
        <f>IF(_xlfn.XLOOKUP(C949,customers!$A$1:$A$1001,customers!$C$1:$C$1001, ,0)=0,"",_xlfn.XLOOKUP(C949,customers!$A$1:$A$1001,customers!$C$1:$C$1001, ,0))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c r="Q949" s="5">
        <f>_xlfn.XLOOKUP(Orders[[#This Row],[Product ID]],products!$A$1:$A$49,products!$G$1:$G$49) *Orders[[#This Row],[Quantity]]</f>
        <v>1.0125</v>
      </c>
    </row>
    <row r="950" spans="1:17" x14ac:dyDescent="0.25">
      <c r="A950" s="2" t="s">
        <v>5849</v>
      </c>
      <c r="B950" s="3">
        <v>44445</v>
      </c>
      <c r="C950" s="2" t="s">
        <v>5850</v>
      </c>
      <c r="D950" t="s">
        <v>6185</v>
      </c>
      <c r="E950" s="2">
        <v>3</v>
      </c>
      <c r="F950" s="2" t="str">
        <f>_xlfn.XLOOKUP(C950,customers!$A$1:$A$1001,customers!$B$1:$B$1001,,0)</f>
        <v>Gnni Cheeke</v>
      </c>
      <c r="G950" s="2" t="str">
        <f>IF(_xlfn.XLOOKUP(C950,customers!$A$1:$A$1001,customers!$C$1:$C$1001, ,0)=0,"",_xlfn.XLOOKUP(C950,customers!$A$1:$A$1001,customers!$C$1:$C$1001, ,0))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c r="Q950" s="5">
        <f>_xlfn.XLOOKUP(Orders[[#This Row],[Product ID]],products!$A$1:$A$49,products!$G$1:$G$49) *Orders[[#This Row],[Quantity]]</f>
        <v>9.2218499999999999</v>
      </c>
    </row>
    <row r="951" spans="1:17" x14ac:dyDescent="0.25">
      <c r="A951" s="2" t="s">
        <v>5855</v>
      </c>
      <c r="B951" s="3">
        <v>44449</v>
      </c>
      <c r="C951" s="2" t="s">
        <v>5856</v>
      </c>
      <c r="D951" t="s">
        <v>6142</v>
      </c>
      <c r="E951" s="2">
        <v>4</v>
      </c>
      <c r="F951" s="2" t="str">
        <f>_xlfn.XLOOKUP(C951,customers!$A$1:$A$1001,customers!$B$1:$B$1001,,0)</f>
        <v>Gwenni Ratt</v>
      </c>
      <c r="G951" s="2" t="str">
        <f>IF(_xlfn.XLOOKUP(C951,customers!$A$1:$A$1001,customers!$C$1:$C$1001, ,0)=0,"",_xlfn.XLOOKUP(C951,customers!$A$1:$A$1001,customers!$C$1:$C$1001, ,0))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c r="Q951" s="5">
        <f>_xlfn.XLOOKUP(Orders[[#This Row],[Product ID]],products!$A$1:$A$49,products!$G$1:$G$49) *Orders[[#This Row],[Quantity]]</f>
        <v>6.5963999999999992</v>
      </c>
    </row>
    <row r="952" spans="1:17"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 ,0)=0,"",_xlfn.XLOOKUP(C952,customers!$A$1:$A$1001,customers!$C$1:$C$1001, ,0))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c r="Q952" s="5">
        <f>_xlfn.XLOOKUP(Orders[[#This Row],[Product ID]],products!$A$1:$A$49,products!$G$1:$G$49) *Orders[[#This Row],[Quantity]]</f>
        <v>0.86039999999999983</v>
      </c>
    </row>
    <row r="953" spans="1:17" x14ac:dyDescent="0.25">
      <c r="A953" s="2" t="s">
        <v>5866</v>
      </c>
      <c r="B953" s="3">
        <v>44092</v>
      </c>
      <c r="C953" s="2" t="s">
        <v>5867</v>
      </c>
      <c r="D953" t="s">
        <v>6178</v>
      </c>
      <c r="E953" s="2">
        <v>6</v>
      </c>
      <c r="F953" s="2" t="str">
        <f>_xlfn.XLOOKUP(C953,customers!$A$1:$A$1001,customers!$B$1:$B$1001,,0)</f>
        <v>Ingamar Eberlein</v>
      </c>
      <c r="G953" s="2" t="str">
        <f>IF(_xlfn.XLOOKUP(C953,customers!$A$1:$A$1001,customers!$C$1:$C$1001, ,0)=0,"",_xlfn.XLOOKUP(C953,customers!$A$1:$A$1001,customers!$C$1:$C$1001, ,0))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c r="Q953" s="5">
        <f>_xlfn.XLOOKUP(Orders[[#This Row],[Product ID]],products!$A$1:$A$49,products!$G$1:$G$49) *Orders[[#This Row],[Quantity]]</f>
        <v>1.2905999999999997</v>
      </c>
    </row>
    <row r="954" spans="1:17" x14ac:dyDescent="0.25">
      <c r="A954" s="2" t="s">
        <v>5872</v>
      </c>
      <c r="B954" s="3">
        <v>44439</v>
      </c>
      <c r="C954" s="2" t="s">
        <v>5873</v>
      </c>
      <c r="D954" t="s">
        <v>6155</v>
      </c>
      <c r="E954" s="2">
        <v>2</v>
      </c>
      <c r="F954" s="2" t="str">
        <f>_xlfn.XLOOKUP(C954,customers!$A$1:$A$1001,customers!$B$1:$B$1001,,0)</f>
        <v>Jilly Dreng</v>
      </c>
      <c r="G954" s="2" t="str">
        <f>IF(_xlfn.XLOOKUP(C954,customers!$A$1:$A$1001,customers!$C$1:$C$1001, ,0)=0,"",_xlfn.XLOOKUP(C954,customers!$A$1:$A$1001,customers!$C$1:$C$1001, ,0))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c r="Q954" s="5">
        <f>_xlfn.XLOOKUP(Orders[[#This Row],[Product ID]],products!$A$1:$A$49,products!$G$1:$G$49) *Orders[[#This Row],[Quantity]]</f>
        <v>2.0249999999999999</v>
      </c>
    </row>
    <row r="955" spans="1:17" x14ac:dyDescent="0.25">
      <c r="A955" s="2" t="s">
        <v>5878</v>
      </c>
      <c r="B955" s="3">
        <v>44582</v>
      </c>
      <c r="C955" s="2" t="s">
        <v>5764</v>
      </c>
      <c r="D955" t="s">
        <v>6167</v>
      </c>
      <c r="E955" s="2">
        <v>1</v>
      </c>
      <c r="F955" s="2" t="str">
        <f>_xlfn.XLOOKUP(C955,customers!$A$1:$A$1001,customers!$B$1:$B$1001,,0)</f>
        <v>Brenn Dundredge</v>
      </c>
      <c r="G955" s="2" t="str">
        <f>IF(_xlfn.XLOOKUP(C955,customers!$A$1:$A$1001,customers!$C$1:$C$1001, ,0)=0,"",_xlfn.XLOOKUP(C955,customers!$A$1:$A$1001,customers!$C$1:$C$1001, ,0))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c r="Q955" s="5">
        <f>_xlfn.XLOOKUP(Orders[[#This Row],[Product ID]],products!$A$1:$A$49,products!$G$1:$G$49) *Orders[[#This Row],[Quantity]]</f>
        <v>0.34964999999999996</v>
      </c>
    </row>
    <row r="956" spans="1:17" x14ac:dyDescent="0.25">
      <c r="A956" s="2" t="s">
        <v>5884</v>
      </c>
      <c r="B956" s="3">
        <v>44722</v>
      </c>
      <c r="C956" s="2" t="s">
        <v>5764</v>
      </c>
      <c r="D956" t="s">
        <v>6185</v>
      </c>
      <c r="E956" s="2">
        <v>1</v>
      </c>
      <c r="F956" s="2" t="str">
        <f>_xlfn.XLOOKUP(C956,customers!$A$1:$A$1001,customers!$B$1:$B$1001,,0)</f>
        <v>Brenn Dundredge</v>
      </c>
      <c r="G956" s="2" t="str">
        <f>IF(_xlfn.XLOOKUP(C956,customers!$A$1:$A$1001,customers!$C$1:$C$1001, ,0)=0,"",_xlfn.XLOOKUP(C956,customers!$A$1:$A$1001,customers!$C$1:$C$1001, ,0))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c r="Q956" s="5">
        <f>_xlfn.XLOOKUP(Orders[[#This Row],[Product ID]],products!$A$1:$A$49,products!$G$1:$G$49) *Orders[[#This Row],[Quantity]]</f>
        <v>3.07395</v>
      </c>
    </row>
    <row r="957" spans="1:17" x14ac:dyDescent="0.25">
      <c r="A957" s="2" t="s">
        <v>5890</v>
      </c>
      <c r="B957" s="3">
        <v>43582</v>
      </c>
      <c r="C957" s="2" t="s">
        <v>5764</v>
      </c>
      <c r="D957" t="s">
        <v>6148</v>
      </c>
      <c r="E957" s="2">
        <v>5</v>
      </c>
      <c r="F957" s="2" t="str">
        <f>_xlfn.XLOOKUP(C957,customers!$A$1:$A$1001,customers!$B$1:$B$1001,,0)</f>
        <v>Brenn Dundredge</v>
      </c>
      <c r="G957" s="2" t="str">
        <f>IF(_xlfn.XLOOKUP(C957,customers!$A$1:$A$1001,customers!$C$1:$C$1001, ,0)=0,"",_xlfn.XLOOKUP(C957,customers!$A$1:$A$1001,customers!$C$1:$C$1001, ,0))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c r="Q957" s="5">
        <f>_xlfn.XLOOKUP(Orders[[#This Row],[Product ID]],products!$A$1:$A$49,products!$G$1:$G$49) *Orders[[#This Row],[Quantity]]</f>
        <v>18.785249999999998</v>
      </c>
    </row>
    <row r="958" spans="1:17" x14ac:dyDescent="0.25">
      <c r="A958" s="2" t="s">
        <v>5890</v>
      </c>
      <c r="B958" s="3">
        <v>43582</v>
      </c>
      <c r="C958" s="2" t="s">
        <v>5764</v>
      </c>
      <c r="D958" t="s">
        <v>6142</v>
      </c>
      <c r="E958" s="2">
        <v>2</v>
      </c>
      <c r="F958" s="2" t="str">
        <f>_xlfn.XLOOKUP(C958,customers!$A$1:$A$1001,customers!$B$1:$B$1001,,0)</f>
        <v>Brenn Dundredge</v>
      </c>
      <c r="G958" s="2" t="str">
        <f>IF(_xlfn.XLOOKUP(C958,customers!$A$1:$A$1001,customers!$C$1:$C$1001, ,0)=0,"",_xlfn.XLOOKUP(C958,customers!$A$1:$A$1001,customers!$C$1:$C$1001, ,0))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c r="Q958" s="5">
        <f>_xlfn.XLOOKUP(Orders[[#This Row],[Product ID]],products!$A$1:$A$49,products!$G$1:$G$49) *Orders[[#This Row],[Quantity]]</f>
        <v>3.2981999999999996</v>
      </c>
    </row>
    <row r="959" spans="1:17" x14ac:dyDescent="0.25">
      <c r="A959" s="2" t="s">
        <v>5890</v>
      </c>
      <c r="B959" s="3">
        <v>43582</v>
      </c>
      <c r="C959" s="2" t="s">
        <v>5764</v>
      </c>
      <c r="D959" t="s">
        <v>6171</v>
      </c>
      <c r="E959" s="2">
        <v>1</v>
      </c>
      <c r="F959" s="2" t="str">
        <f>_xlfn.XLOOKUP(C959,customers!$A$1:$A$1001,customers!$B$1:$B$1001,,0)</f>
        <v>Brenn Dundredge</v>
      </c>
      <c r="G959" s="2" t="str">
        <f>IF(_xlfn.XLOOKUP(C959,customers!$A$1:$A$1001,customers!$C$1:$C$1001, ,0)=0,"",_xlfn.XLOOKUP(C959,customers!$A$1:$A$1001,customers!$C$1:$C$1001, ,0))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c r="Q959" s="5">
        <f>_xlfn.XLOOKUP(Orders[[#This Row],[Product ID]],products!$A$1:$A$49,products!$G$1:$G$49) *Orders[[#This Row],[Quantity]]</f>
        <v>1.6335</v>
      </c>
    </row>
    <row r="960" spans="1:17" x14ac:dyDescent="0.25">
      <c r="A960" s="2" t="s">
        <v>5890</v>
      </c>
      <c r="B960" s="3">
        <v>43582</v>
      </c>
      <c r="C960" s="2" t="s">
        <v>5764</v>
      </c>
      <c r="D960" t="s">
        <v>6167</v>
      </c>
      <c r="E960" s="2">
        <v>2</v>
      </c>
      <c r="F960" s="2" t="str">
        <f>_xlfn.XLOOKUP(C960,customers!$A$1:$A$1001,customers!$B$1:$B$1001,,0)</f>
        <v>Brenn Dundredge</v>
      </c>
      <c r="G960" s="2" t="str">
        <f>IF(_xlfn.XLOOKUP(C960,customers!$A$1:$A$1001,customers!$C$1:$C$1001, ,0)=0,"",_xlfn.XLOOKUP(C960,customers!$A$1:$A$1001,customers!$C$1:$C$1001, ,0))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c r="Q960" s="5">
        <f>_xlfn.XLOOKUP(Orders[[#This Row],[Product ID]],products!$A$1:$A$49,products!$G$1:$G$49) *Orders[[#This Row],[Quantity]]</f>
        <v>0.69929999999999992</v>
      </c>
    </row>
    <row r="961" spans="1:17" x14ac:dyDescent="0.25">
      <c r="A961" s="2" t="s">
        <v>5910</v>
      </c>
      <c r="B961" s="3">
        <v>44598</v>
      </c>
      <c r="C961" s="2" t="s">
        <v>5911</v>
      </c>
      <c r="D961" t="s">
        <v>6145</v>
      </c>
      <c r="E961" s="2">
        <v>5</v>
      </c>
      <c r="F961" s="2" t="str">
        <f>_xlfn.XLOOKUP(C961,customers!$A$1:$A$1001,customers!$B$1:$B$1001,,0)</f>
        <v>Rhodie Strathern</v>
      </c>
      <c r="G961" s="2" t="str">
        <f>IF(_xlfn.XLOOKUP(C961,customers!$A$1:$A$1001,customers!$C$1:$C$1001, ,0)=0,"",_xlfn.XLOOKUP(C961,customers!$A$1:$A$1001,customers!$C$1:$C$1001, ,0))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c r="Q961" s="5">
        <f>_xlfn.XLOOKUP(Orders[[#This Row],[Product ID]],products!$A$1:$A$49,products!$G$1:$G$49) *Orders[[#This Row],[Quantity]]</f>
        <v>3.0907499999999999</v>
      </c>
    </row>
    <row r="962" spans="1:17" x14ac:dyDescent="0.25">
      <c r="A962" s="2" t="s">
        <v>5915</v>
      </c>
      <c r="B962" s="3">
        <v>44591</v>
      </c>
      <c r="C962" s="2" t="s">
        <v>5916</v>
      </c>
      <c r="D962" t="s">
        <v>6170</v>
      </c>
      <c r="E962" s="2">
        <v>5</v>
      </c>
      <c r="F962" s="2" t="str">
        <f>_xlfn.XLOOKUP(C962,customers!$A$1:$A$1001,customers!$B$1:$B$1001,,0)</f>
        <v>Chad Miguel</v>
      </c>
      <c r="G962" s="2" t="str">
        <f>IF(_xlfn.XLOOKUP(C962,customers!$A$1:$A$1001,customers!$C$1:$C$1001, ,0)=0,"",_xlfn.XLOOKUP(C962,customers!$A$1:$A$1001,customers!$C$1:$C$1001, ,0))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c r="Q962" s="5">
        <f>_xlfn.XLOOKUP(Orders[[#This Row],[Product ID]],products!$A$1:$A$49,products!$G$1:$G$49) *Orders[[#This Row],[Quantity]]</f>
        <v>10.302500000000002</v>
      </c>
    </row>
    <row r="963" spans="1:17"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 ,0)=0,"",_xlfn.XLOOKUP(C963,customers!$A$1:$A$1001,customers!$C$1:$C$1001, ,0))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 = "Lib","Liberica"))))</f>
        <v>Arabica</v>
      </c>
      <c r="O963" t="str">
        <f t="shared" ref="O963:O1001" si="47">IF(J963="L","Light",IF(J963="M","Medium",IF(J963="D","Dark")))</f>
        <v>Dark</v>
      </c>
      <c r="P963" t="str">
        <f>_xlfn.XLOOKUP(Orders[[#This Row],[Customer ID]],customers!$A$1:$A$1001,customers!$I$1:$I$1001,,0)</f>
        <v>Yes</v>
      </c>
      <c r="Q963" s="5">
        <f>_xlfn.XLOOKUP(Orders[[#This Row],[Product ID]],products!$A$1:$A$49,products!$G$1:$G$49) *Orders[[#This Row],[Quantity]]</f>
        <v>4.1192999999999991</v>
      </c>
    </row>
    <row r="964" spans="1:17" x14ac:dyDescent="0.25">
      <c r="A964" s="2" t="s">
        <v>5926</v>
      </c>
      <c r="B964" s="3">
        <v>44664</v>
      </c>
      <c r="C964" s="2" t="s">
        <v>5927</v>
      </c>
      <c r="D964" t="s">
        <v>6177</v>
      </c>
      <c r="E964" s="2">
        <v>1</v>
      </c>
      <c r="F964" s="2" t="str">
        <f>_xlfn.XLOOKUP(C964,customers!$A$1:$A$1001,customers!$B$1:$B$1001,,0)</f>
        <v>Morly Rocks</v>
      </c>
      <c r="G964" s="2" t="str">
        <f>IF(_xlfn.XLOOKUP(C964,customers!$A$1:$A$1001,customers!$C$1:$C$1001, ,0)=0,"",_xlfn.XLOOKUP(C964,customers!$A$1:$A$1001,customers!$C$1:$C$1001, ,0))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c r="Q964" s="5">
        <f>_xlfn.XLOOKUP(Orders[[#This Row],[Product ID]],products!$A$1:$A$49,products!$G$1:$G$49) *Orders[[#This Row],[Quantity]]</f>
        <v>0.53699999999999992</v>
      </c>
    </row>
    <row r="965" spans="1:17" x14ac:dyDescent="0.25">
      <c r="A965" s="2" t="s">
        <v>5932</v>
      </c>
      <c r="B965" s="3">
        <v>44203</v>
      </c>
      <c r="C965" s="2" t="s">
        <v>5933</v>
      </c>
      <c r="D965" t="s">
        <v>6146</v>
      </c>
      <c r="E965" s="2">
        <v>4</v>
      </c>
      <c r="F965" s="2" t="str">
        <f>_xlfn.XLOOKUP(C965,customers!$A$1:$A$1001,customers!$B$1:$B$1001,,0)</f>
        <v>Yuri Burrells</v>
      </c>
      <c r="G965" s="2" t="str">
        <f>IF(_xlfn.XLOOKUP(C965,customers!$A$1:$A$1001,customers!$C$1:$C$1001, ,0)=0,"",_xlfn.XLOOKUP(C965,customers!$A$1:$A$1001,customers!$C$1:$C$1001, ,0))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c r="Q965" s="5">
        <f>_xlfn.XLOOKUP(Orders[[#This Row],[Product ID]],products!$A$1:$A$49,products!$G$1:$G$49) *Orders[[#This Row],[Quantity]]</f>
        <v>1.4327999999999999</v>
      </c>
    </row>
    <row r="966" spans="1:17"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 ,0)=0,"",_xlfn.XLOOKUP(C966,customers!$A$1:$A$1001,customers!$C$1:$C$1001, ,0))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c r="Q966" s="5">
        <f>_xlfn.XLOOKUP(Orders[[#This Row],[Product ID]],products!$A$1:$A$49,products!$G$1:$G$49) *Orders[[#This Row],[Quantity]]</f>
        <v>2.45025</v>
      </c>
    </row>
    <row r="967" spans="1:17" x14ac:dyDescent="0.25">
      <c r="A967" s="2" t="s">
        <v>5944</v>
      </c>
      <c r="B967" s="3">
        <v>43724</v>
      </c>
      <c r="C967" s="2" t="s">
        <v>5945</v>
      </c>
      <c r="D967" t="s">
        <v>6138</v>
      </c>
      <c r="E967" s="2">
        <v>3</v>
      </c>
      <c r="F967" s="2" t="str">
        <f>_xlfn.XLOOKUP(C967,customers!$A$1:$A$1001,customers!$B$1:$B$1001,,0)</f>
        <v>Joey Jefferys</v>
      </c>
      <c r="G967" s="2" t="str">
        <f>IF(_xlfn.XLOOKUP(C967,customers!$A$1:$A$1001,customers!$C$1:$C$1001, ,0)=0,"",_xlfn.XLOOKUP(C967,customers!$A$1:$A$1001,customers!$C$1:$C$1001, ,0))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c r="Q967" s="5">
        <f>_xlfn.XLOOKUP(Orders[[#This Row],[Product ID]],products!$A$1:$A$49,products!$G$1:$G$49) *Orders[[#This Row],[Quantity]]</f>
        <v>1.7909999999999999</v>
      </c>
    </row>
    <row r="968" spans="1:17" x14ac:dyDescent="0.25">
      <c r="A968" s="2" t="s">
        <v>5949</v>
      </c>
      <c r="B968" s="3">
        <v>43491</v>
      </c>
      <c r="C968" s="2" t="s">
        <v>5950</v>
      </c>
      <c r="D968" t="s">
        <v>6176</v>
      </c>
      <c r="E968" s="2">
        <v>6</v>
      </c>
      <c r="F968" s="2" t="str">
        <f>_xlfn.XLOOKUP(C968,customers!$A$1:$A$1001,customers!$B$1:$B$1001,,0)</f>
        <v>Bearnard Wardell</v>
      </c>
      <c r="G968" s="2" t="str">
        <f>IF(_xlfn.XLOOKUP(C968,customers!$A$1:$A$1001,customers!$C$1:$C$1001, ,0)=0,"",_xlfn.XLOOKUP(C968,customers!$A$1:$A$1001,customers!$C$1:$C$1001, ,0))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c r="Q968" s="5">
        <f>_xlfn.XLOOKUP(Orders[[#This Row],[Product ID]],products!$A$1:$A$49,products!$G$1:$G$49) *Orders[[#This Row],[Quantity]]</f>
        <v>5.8805999999999994</v>
      </c>
    </row>
    <row r="969" spans="1:17" x14ac:dyDescent="0.25">
      <c r="A969" s="2" t="s">
        <v>5955</v>
      </c>
      <c r="B969" s="3">
        <v>44246</v>
      </c>
      <c r="C969" s="2" t="s">
        <v>5956</v>
      </c>
      <c r="D969" t="s">
        <v>6163</v>
      </c>
      <c r="E969" s="2">
        <v>1</v>
      </c>
      <c r="F969" s="2" t="str">
        <f>_xlfn.XLOOKUP(C969,customers!$A$1:$A$1001,customers!$B$1:$B$1001,,0)</f>
        <v>Zeke Walisiak</v>
      </c>
      <c r="G969" s="2" t="str">
        <f>IF(_xlfn.XLOOKUP(C969,customers!$A$1:$A$1001,customers!$C$1:$C$1001, ,0)=0,"",_xlfn.XLOOKUP(C969,customers!$A$1:$A$1001,customers!$C$1:$C$1001, ,0))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c r="Q969" s="5">
        <f>_xlfn.XLOOKUP(Orders[[#This Row],[Product ID]],products!$A$1:$A$49,products!$G$1:$G$49) *Orders[[#This Row],[Quantity]]</f>
        <v>0.16109999999999997</v>
      </c>
    </row>
    <row r="970" spans="1:17" x14ac:dyDescent="0.25">
      <c r="A970" s="2" t="s">
        <v>5961</v>
      </c>
      <c r="B970" s="3">
        <v>44642</v>
      </c>
      <c r="C970" s="2" t="s">
        <v>5962</v>
      </c>
      <c r="D970" t="s">
        <v>6174</v>
      </c>
      <c r="E970" s="2">
        <v>2</v>
      </c>
      <c r="F970" s="2" t="str">
        <f>_xlfn.XLOOKUP(C970,customers!$A$1:$A$1001,customers!$B$1:$B$1001,,0)</f>
        <v>Wiley Leopold</v>
      </c>
      <c r="G970" s="2" t="str">
        <f>IF(_xlfn.XLOOKUP(C970,customers!$A$1:$A$1001,customers!$C$1:$C$1001, ,0)=0,"",_xlfn.XLOOKUP(C970,customers!$A$1:$A$1001,customers!$C$1:$C$1001, ,0))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c r="Q970" s="5">
        <f>_xlfn.XLOOKUP(Orders[[#This Row],[Product ID]],products!$A$1:$A$49,products!$G$1:$G$49) *Orders[[#This Row],[Quantity]]</f>
        <v>0.35819999999999996</v>
      </c>
    </row>
    <row r="971" spans="1:17" x14ac:dyDescent="0.25">
      <c r="A971" s="2" t="s">
        <v>5967</v>
      </c>
      <c r="B971" s="3">
        <v>43649</v>
      </c>
      <c r="C971" s="2" t="s">
        <v>5968</v>
      </c>
      <c r="D971" t="s">
        <v>6143</v>
      </c>
      <c r="E971" s="2">
        <v>1</v>
      </c>
      <c r="F971" s="2" t="str">
        <f>_xlfn.XLOOKUP(C971,customers!$A$1:$A$1001,customers!$B$1:$B$1001,,0)</f>
        <v>Chiarra Shalders</v>
      </c>
      <c r="G971" s="2" t="str">
        <f>IF(_xlfn.XLOOKUP(C971,customers!$A$1:$A$1001,customers!$C$1:$C$1001, ,0)=0,"",_xlfn.XLOOKUP(C971,customers!$A$1:$A$1001,customers!$C$1:$C$1001, ,0))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c r="Q971" s="5">
        <f>_xlfn.XLOOKUP(Orders[[#This Row],[Product ID]],products!$A$1:$A$49,products!$G$1:$G$49) *Orders[[#This Row],[Quantity]]</f>
        <v>1.6835</v>
      </c>
    </row>
    <row r="972" spans="1:17" x14ac:dyDescent="0.25">
      <c r="A972" s="2" t="s">
        <v>5973</v>
      </c>
      <c r="B972" s="3">
        <v>43729</v>
      </c>
      <c r="C972" s="2" t="s">
        <v>5974</v>
      </c>
      <c r="D972" t="s">
        <v>6139</v>
      </c>
      <c r="E972" s="2">
        <v>1</v>
      </c>
      <c r="F972" s="2" t="str">
        <f>_xlfn.XLOOKUP(C972,customers!$A$1:$A$1001,customers!$B$1:$B$1001,,0)</f>
        <v>Sharl Southerill</v>
      </c>
      <c r="G972" s="2" t="str">
        <f>IF(_xlfn.XLOOKUP(C972,customers!$A$1:$A$1001,customers!$C$1:$C$1001, ,0)=0,"",_xlfn.XLOOKUP(C972,customers!$A$1:$A$1001,customers!$C$1:$C$1001, ,0))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c r="Q972" s="5">
        <f>_xlfn.XLOOKUP(Orders[[#This Row],[Product ID]],products!$A$1:$A$49,products!$G$1:$G$49) *Orders[[#This Row],[Quantity]]</f>
        <v>0.90749999999999997</v>
      </c>
    </row>
    <row r="973" spans="1:17" x14ac:dyDescent="0.25">
      <c r="A973" s="2" t="s">
        <v>5978</v>
      </c>
      <c r="B973" s="3">
        <v>43703</v>
      </c>
      <c r="C973" s="2" t="s">
        <v>5979</v>
      </c>
      <c r="D973" t="s">
        <v>6182</v>
      </c>
      <c r="E973" s="2">
        <v>5</v>
      </c>
      <c r="F973" s="2" t="str">
        <f>_xlfn.XLOOKUP(C973,customers!$A$1:$A$1001,customers!$B$1:$B$1001,,0)</f>
        <v>Noni Furber</v>
      </c>
      <c r="G973" s="2" t="str">
        <f>IF(_xlfn.XLOOKUP(C973,customers!$A$1:$A$1001,customers!$C$1:$C$1001, ,0)=0,"",_xlfn.XLOOKUP(C973,customers!$A$1:$A$1001,customers!$C$1:$C$1001, ,0))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c r="Q973" s="5">
        <f>_xlfn.XLOOKUP(Orders[[#This Row],[Product ID]],products!$A$1:$A$49,products!$G$1:$G$49) *Orders[[#This Row],[Quantity]]</f>
        <v>13.403249999999998</v>
      </c>
    </row>
    <row r="974" spans="1:17" x14ac:dyDescent="0.25">
      <c r="A974" s="2" t="s">
        <v>5984</v>
      </c>
      <c r="B974" s="3">
        <v>44411</v>
      </c>
      <c r="C974" s="2" t="s">
        <v>5985</v>
      </c>
      <c r="D974" t="s">
        <v>6182</v>
      </c>
      <c r="E974" s="2">
        <v>3</v>
      </c>
      <c r="F974" s="2" t="str">
        <f>_xlfn.XLOOKUP(C974,customers!$A$1:$A$1001,customers!$B$1:$B$1001,,0)</f>
        <v>Dinah Crutcher</v>
      </c>
      <c r="G974" s="2" t="str">
        <f>IF(_xlfn.XLOOKUP(C974,customers!$A$1:$A$1001,customers!$C$1:$C$1001, ,0)=0,"",_xlfn.XLOOKUP(C974,customers!$A$1:$A$1001,customers!$C$1:$C$1001, ,0))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c r="Q974" s="5">
        <f>_xlfn.XLOOKUP(Orders[[#This Row],[Product ID]],products!$A$1:$A$49,products!$G$1:$G$49) *Orders[[#This Row],[Quantity]]</f>
        <v>8.0419499999999982</v>
      </c>
    </row>
    <row r="975" spans="1:17" x14ac:dyDescent="0.25">
      <c r="A975" s="2" t="s">
        <v>5989</v>
      </c>
      <c r="B975" s="3">
        <v>44493</v>
      </c>
      <c r="C975" s="2" t="s">
        <v>5990</v>
      </c>
      <c r="D975" t="s">
        <v>6162</v>
      </c>
      <c r="E975" s="2">
        <v>6</v>
      </c>
      <c r="F975" s="2" t="str">
        <f>_xlfn.XLOOKUP(C975,customers!$A$1:$A$1001,customers!$B$1:$B$1001,,0)</f>
        <v>Charlean Keave</v>
      </c>
      <c r="G975" s="2" t="str">
        <f>IF(_xlfn.XLOOKUP(C975,customers!$A$1:$A$1001,customers!$C$1:$C$1001, ,0)=0,"",_xlfn.XLOOKUP(C975,customers!$A$1:$A$1001,customers!$C$1:$C$1001, ,0))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c r="Q975" s="5">
        <f>_xlfn.XLOOKUP(Orders[[#This Row],[Product ID]],products!$A$1:$A$49,products!$G$1:$G$49) *Orders[[#This Row],[Quantity]]</f>
        <v>11.349</v>
      </c>
    </row>
    <row r="976" spans="1:17" x14ac:dyDescent="0.25">
      <c r="A976" s="2" t="s">
        <v>5995</v>
      </c>
      <c r="B976" s="3">
        <v>43556</v>
      </c>
      <c r="C976" s="2" t="s">
        <v>5996</v>
      </c>
      <c r="D976" t="s">
        <v>6172</v>
      </c>
      <c r="E976" s="2">
        <v>1</v>
      </c>
      <c r="F976" s="2" t="str">
        <f>_xlfn.XLOOKUP(C976,customers!$A$1:$A$1001,customers!$B$1:$B$1001,,0)</f>
        <v>Sada Roseborough</v>
      </c>
      <c r="G976" s="2" t="str">
        <f>IF(_xlfn.XLOOKUP(C976,customers!$A$1:$A$1001,customers!$C$1:$C$1001, ,0)=0,"",_xlfn.XLOOKUP(C976,customers!$A$1:$A$1001,customers!$C$1:$C$1001, ,0))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c r="Q976" s="5">
        <f>_xlfn.XLOOKUP(Orders[[#This Row],[Product ID]],products!$A$1:$A$49,products!$G$1:$G$49) *Orders[[#This Row],[Quantity]]</f>
        <v>0.32219999999999993</v>
      </c>
    </row>
    <row r="977" spans="1:17" x14ac:dyDescent="0.25">
      <c r="A977" s="2" t="s">
        <v>6001</v>
      </c>
      <c r="B977" s="3">
        <v>44538</v>
      </c>
      <c r="C977" s="2" t="s">
        <v>6002</v>
      </c>
      <c r="D977" t="s">
        <v>6154</v>
      </c>
      <c r="E977" s="2">
        <v>3</v>
      </c>
      <c r="F977" s="2" t="str">
        <f>_xlfn.XLOOKUP(C977,customers!$A$1:$A$1001,customers!$B$1:$B$1001,,0)</f>
        <v>Clayton Kingwell</v>
      </c>
      <c r="G977" s="2" t="str">
        <f>IF(_xlfn.XLOOKUP(C977,customers!$A$1:$A$1001,customers!$C$1:$C$1001, ,0)=0,"",_xlfn.XLOOKUP(C977,customers!$A$1:$A$1001,customers!$C$1:$C$1001, ,0))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c r="Q977" s="5">
        <f>_xlfn.XLOOKUP(Orders[[#This Row],[Product ID]],products!$A$1:$A$49,products!$G$1:$G$49) *Orders[[#This Row],[Quantity]]</f>
        <v>0.80594999999999994</v>
      </c>
    </row>
    <row r="978" spans="1:17" x14ac:dyDescent="0.25">
      <c r="A978" s="2" t="s">
        <v>6007</v>
      </c>
      <c r="B978" s="3">
        <v>43643</v>
      </c>
      <c r="C978" s="2" t="s">
        <v>6008</v>
      </c>
      <c r="D978" t="s">
        <v>6142</v>
      </c>
      <c r="E978" s="2">
        <v>5</v>
      </c>
      <c r="F978" s="2" t="str">
        <f>_xlfn.XLOOKUP(C978,customers!$A$1:$A$1001,customers!$B$1:$B$1001,,0)</f>
        <v>Kacy Canto</v>
      </c>
      <c r="G978" s="2" t="str">
        <f>IF(_xlfn.XLOOKUP(C978,customers!$A$1:$A$1001,customers!$C$1:$C$1001, ,0)=0,"",_xlfn.XLOOKUP(C978,customers!$A$1:$A$1001,customers!$C$1:$C$1001, ,0))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c r="Q978" s="5">
        <f>_xlfn.XLOOKUP(Orders[[#This Row],[Product ID]],products!$A$1:$A$49,products!$G$1:$G$49) *Orders[[#This Row],[Quantity]]</f>
        <v>8.2454999999999998</v>
      </c>
    </row>
    <row r="979" spans="1:17" x14ac:dyDescent="0.25">
      <c r="A979" s="2" t="s">
        <v>6013</v>
      </c>
      <c r="B979" s="3">
        <v>44026</v>
      </c>
      <c r="C979" s="2" t="s">
        <v>6014</v>
      </c>
      <c r="D979" t="s">
        <v>6179</v>
      </c>
      <c r="E979" s="2">
        <v>5</v>
      </c>
      <c r="F979" s="2" t="str">
        <f>_xlfn.XLOOKUP(C979,customers!$A$1:$A$1001,customers!$B$1:$B$1001,,0)</f>
        <v>Mab Blakemore</v>
      </c>
      <c r="G979" s="2" t="str">
        <f>IF(_xlfn.XLOOKUP(C979,customers!$A$1:$A$1001,customers!$C$1:$C$1001, ,0)=0,"",_xlfn.XLOOKUP(C979,customers!$A$1:$A$1001,customers!$C$1:$C$1001, ,0))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c r="Q979" s="5">
        <f>_xlfn.XLOOKUP(Orders[[#This Row],[Product ID]],products!$A$1:$A$49,products!$G$1:$G$49) *Orders[[#This Row],[Quantity]]</f>
        <v>3.585</v>
      </c>
    </row>
    <row r="980" spans="1:17" x14ac:dyDescent="0.25">
      <c r="A980" s="2" t="s">
        <v>6019</v>
      </c>
      <c r="B980" s="3">
        <v>43913</v>
      </c>
      <c r="C980" s="2" t="s">
        <v>5990</v>
      </c>
      <c r="D980" t="s">
        <v>6180</v>
      </c>
      <c r="E980" s="2">
        <v>3</v>
      </c>
      <c r="F980" s="2" t="str">
        <f>_xlfn.XLOOKUP(C980,customers!$A$1:$A$1001,customers!$B$1:$B$1001,,0)</f>
        <v>Charlean Keave</v>
      </c>
      <c r="G980" s="2" t="str">
        <f>IF(_xlfn.XLOOKUP(C980,customers!$A$1:$A$1001,customers!$C$1:$C$1001, ,0)=0,"",_xlfn.XLOOKUP(C980,customers!$A$1:$A$1001,customers!$C$1:$C$1001, ,0))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c r="Q980" s="5">
        <f>_xlfn.XLOOKUP(Orders[[#This Row],[Product ID]],products!$A$1:$A$49,products!$G$1:$G$49) *Orders[[#This Row],[Quantity]]</f>
        <v>2.0978999999999997</v>
      </c>
    </row>
    <row r="981" spans="1:17" x14ac:dyDescent="0.25">
      <c r="A981" s="2" t="s">
        <v>6025</v>
      </c>
      <c r="B981" s="3">
        <v>43856</v>
      </c>
      <c r="C981" s="2" t="s">
        <v>6026</v>
      </c>
      <c r="D981" t="s">
        <v>6172</v>
      </c>
      <c r="E981" s="2">
        <v>2</v>
      </c>
      <c r="F981" s="2" t="str">
        <f>_xlfn.XLOOKUP(C981,customers!$A$1:$A$1001,customers!$B$1:$B$1001,,0)</f>
        <v>Javier Causnett</v>
      </c>
      <c r="G981" s="2" t="str">
        <f>IF(_xlfn.XLOOKUP(C981,customers!$A$1:$A$1001,customers!$C$1:$C$1001, ,0)=0,"",_xlfn.XLOOKUP(C981,customers!$A$1:$A$1001,customers!$C$1:$C$1001, ,0))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c r="Q981" s="5">
        <f>_xlfn.XLOOKUP(Orders[[#This Row],[Product ID]],products!$A$1:$A$49,products!$G$1:$G$49) *Orders[[#This Row],[Quantity]]</f>
        <v>0.64439999999999986</v>
      </c>
    </row>
    <row r="982" spans="1:17" x14ac:dyDescent="0.25">
      <c r="A982" s="2" t="s">
        <v>6030</v>
      </c>
      <c r="B982" s="3">
        <v>43982</v>
      </c>
      <c r="C982" s="2" t="s">
        <v>6031</v>
      </c>
      <c r="D982" t="s">
        <v>6185</v>
      </c>
      <c r="E982" s="2">
        <v>6</v>
      </c>
      <c r="F982" s="2" t="str">
        <f>_xlfn.XLOOKUP(C982,customers!$A$1:$A$1001,customers!$B$1:$B$1001,,0)</f>
        <v>Demetris Micheli</v>
      </c>
      <c r="G982" s="2" t="str">
        <f>IF(_xlfn.XLOOKUP(C982,customers!$A$1:$A$1001,customers!$C$1:$C$1001, ,0)=0,"",_xlfn.XLOOKUP(C982,customers!$A$1:$A$1001,customers!$C$1:$C$1001, ,0))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c r="Q982" s="5">
        <f>_xlfn.XLOOKUP(Orders[[#This Row],[Product ID]],products!$A$1:$A$49,products!$G$1:$G$49) *Orders[[#This Row],[Quantity]]</f>
        <v>18.4437</v>
      </c>
    </row>
    <row r="983" spans="1:17"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 ,0)=0,"",_xlfn.XLOOKUP(C983,customers!$A$1:$A$1001,customers!$C$1:$C$1001, ,0))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c r="Q983" s="5">
        <f>_xlfn.XLOOKUP(Orders[[#This Row],[Product ID]],products!$A$1:$A$49,products!$G$1:$G$49) *Orders[[#This Row],[Quantity]]</f>
        <v>2.4057000000000004</v>
      </c>
    </row>
    <row r="984" spans="1:17" x14ac:dyDescent="0.25">
      <c r="A984" s="2" t="s">
        <v>6041</v>
      </c>
      <c r="B984" s="3">
        <v>44785</v>
      </c>
      <c r="C984" s="2" t="s">
        <v>6042</v>
      </c>
      <c r="D984" t="s">
        <v>6179</v>
      </c>
      <c r="E984" s="2">
        <v>2</v>
      </c>
      <c r="F984" s="2" t="str">
        <f>_xlfn.XLOOKUP(C984,customers!$A$1:$A$1001,customers!$B$1:$B$1001,,0)</f>
        <v>Kim Kemery</v>
      </c>
      <c r="G984" s="2" t="str">
        <f>IF(_xlfn.XLOOKUP(C984,customers!$A$1:$A$1001,customers!$C$1:$C$1001, ,0)=0,"",_xlfn.XLOOKUP(C984,customers!$A$1:$A$1001,customers!$C$1:$C$1001, ,0))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c r="Q984" s="5">
        <f>_xlfn.XLOOKUP(Orders[[#This Row],[Product ID]],products!$A$1:$A$49,products!$G$1:$G$49) *Orders[[#This Row],[Quantity]]</f>
        <v>1.4339999999999999</v>
      </c>
    </row>
    <row r="985" spans="1:17" x14ac:dyDescent="0.25">
      <c r="A985" s="2" t="s">
        <v>6047</v>
      </c>
      <c r="B985" s="3">
        <v>43831</v>
      </c>
      <c r="C985" s="2" t="s">
        <v>6048</v>
      </c>
      <c r="D985" t="s">
        <v>6152</v>
      </c>
      <c r="E985" s="2">
        <v>2</v>
      </c>
      <c r="F985" s="2" t="str">
        <f>_xlfn.XLOOKUP(C985,customers!$A$1:$A$1001,customers!$B$1:$B$1001,,0)</f>
        <v>Fanchette Parlot</v>
      </c>
      <c r="G985" s="2" t="str">
        <f>IF(_xlfn.XLOOKUP(C985,customers!$A$1:$A$1001,customers!$C$1:$C$1001, ,0)=0,"",_xlfn.XLOOKUP(C985,customers!$A$1:$A$1001,customers!$C$1:$C$1001, ,0))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c r="Q985" s="5">
        <f>_xlfn.XLOOKUP(Orders[[#This Row],[Product ID]],products!$A$1:$A$49,products!$G$1:$G$49) *Orders[[#This Row],[Quantity]]</f>
        <v>0.60749999999999993</v>
      </c>
    </row>
    <row r="986" spans="1:17" x14ac:dyDescent="0.25">
      <c r="A986" s="2" t="s">
        <v>6053</v>
      </c>
      <c r="B986" s="3">
        <v>44214</v>
      </c>
      <c r="C986" s="2" t="s">
        <v>6054</v>
      </c>
      <c r="D986" t="s">
        <v>6166</v>
      </c>
      <c r="E986" s="2">
        <v>1</v>
      </c>
      <c r="F986" s="2" t="str">
        <f>_xlfn.XLOOKUP(C986,customers!$A$1:$A$1001,customers!$B$1:$B$1001,,0)</f>
        <v>Ramon Cheak</v>
      </c>
      <c r="G986" s="2" t="str">
        <f>IF(_xlfn.XLOOKUP(C986,customers!$A$1:$A$1001,customers!$C$1:$C$1001, ,0)=0,"",_xlfn.XLOOKUP(C986,customers!$A$1:$A$1001,customers!$C$1:$C$1001, ,0))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c r="Q986" s="5">
        <f>_xlfn.XLOOKUP(Orders[[#This Row],[Product ID]],products!$A$1:$A$49,products!$G$1:$G$49) *Orders[[#This Row],[Quantity]]</f>
        <v>3.4787499999999998</v>
      </c>
    </row>
    <row r="987" spans="1:17" x14ac:dyDescent="0.25">
      <c r="A987" s="2" t="s">
        <v>6058</v>
      </c>
      <c r="B987" s="3">
        <v>44561</v>
      </c>
      <c r="C987" s="2" t="s">
        <v>6059</v>
      </c>
      <c r="D987" t="s">
        <v>6179</v>
      </c>
      <c r="E987" s="2">
        <v>4</v>
      </c>
      <c r="F987" s="2" t="str">
        <f>_xlfn.XLOOKUP(C987,customers!$A$1:$A$1001,customers!$B$1:$B$1001,,0)</f>
        <v>Koressa O'Geneay</v>
      </c>
      <c r="G987" s="2" t="str">
        <f>IF(_xlfn.XLOOKUP(C987,customers!$A$1:$A$1001,customers!$C$1:$C$1001, ,0)=0,"",_xlfn.XLOOKUP(C987,customers!$A$1:$A$1001,customers!$C$1:$C$1001, ,0))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c r="Q987" s="5">
        <f>_xlfn.XLOOKUP(Orders[[#This Row],[Product ID]],products!$A$1:$A$49,products!$G$1:$G$49) *Orders[[#This Row],[Quantity]]</f>
        <v>2.8679999999999999</v>
      </c>
    </row>
    <row r="988" spans="1:17" x14ac:dyDescent="0.25">
      <c r="A988" s="2" t="s">
        <v>6064</v>
      </c>
      <c r="B988" s="3">
        <v>43955</v>
      </c>
      <c r="C988" s="2" t="s">
        <v>6065</v>
      </c>
      <c r="D988" t="s">
        <v>6181</v>
      </c>
      <c r="E988" s="2">
        <v>1</v>
      </c>
      <c r="F988" s="2" t="str">
        <f>_xlfn.XLOOKUP(C988,customers!$A$1:$A$1001,customers!$B$1:$B$1001,,0)</f>
        <v>Claudell Ayre</v>
      </c>
      <c r="G988" s="2" t="str">
        <f>IF(_xlfn.XLOOKUP(C988,customers!$A$1:$A$1001,customers!$C$1:$C$1001, ,0)=0,"",_xlfn.XLOOKUP(C988,customers!$A$1:$A$1001,customers!$C$1:$C$1001, ,0))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c r="Q988" s="5">
        <f>_xlfn.XLOOKUP(Orders[[#This Row],[Product ID]],products!$A$1:$A$49,products!$G$1:$G$49) *Orders[[#This Row],[Quantity]]</f>
        <v>4.3504499999999995</v>
      </c>
    </row>
    <row r="989" spans="1:17" x14ac:dyDescent="0.25">
      <c r="A989" s="2" t="s">
        <v>6070</v>
      </c>
      <c r="B989" s="3">
        <v>44247</v>
      </c>
      <c r="C989" s="2" t="s">
        <v>6071</v>
      </c>
      <c r="D989" t="s">
        <v>6158</v>
      </c>
      <c r="E989" s="2">
        <v>5</v>
      </c>
      <c r="F989" s="2" t="str">
        <f>_xlfn.XLOOKUP(C989,customers!$A$1:$A$1001,customers!$B$1:$B$1001,,0)</f>
        <v>Lorianne Kyneton</v>
      </c>
      <c r="G989" s="2" t="str">
        <f>IF(_xlfn.XLOOKUP(C989,customers!$A$1:$A$1001,customers!$C$1:$C$1001, ,0)=0,"",_xlfn.XLOOKUP(C989,customers!$A$1:$A$1001,customers!$C$1:$C$1001, ,0))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c r="Q989" s="5">
        <f>_xlfn.XLOOKUP(Orders[[#This Row],[Product ID]],products!$A$1:$A$49,products!$G$1:$G$49) *Orders[[#This Row],[Quantity]]</f>
        <v>2.6865000000000001</v>
      </c>
    </row>
    <row r="990" spans="1:17" x14ac:dyDescent="0.25">
      <c r="A990" s="2" t="s">
        <v>6076</v>
      </c>
      <c r="B990" s="3">
        <v>43897</v>
      </c>
      <c r="C990" s="2" t="s">
        <v>6077</v>
      </c>
      <c r="D990" t="s">
        <v>6138</v>
      </c>
      <c r="E990" s="2">
        <v>3</v>
      </c>
      <c r="F990" s="2" t="str">
        <f>_xlfn.XLOOKUP(C990,customers!$A$1:$A$1001,customers!$B$1:$B$1001,,0)</f>
        <v>Adele McFayden</v>
      </c>
      <c r="G990" s="2" t="str">
        <f>IF(_xlfn.XLOOKUP(C990,customers!$A$1:$A$1001,customers!$C$1:$C$1001, ,0)=0,"",_xlfn.XLOOKUP(C990,customers!$A$1:$A$1001,customers!$C$1:$C$1001, ,0))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c r="Q990" s="5">
        <f>_xlfn.XLOOKUP(Orders[[#This Row],[Product ID]],products!$A$1:$A$49,products!$G$1:$G$49) *Orders[[#This Row],[Quantity]]</f>
        <v>1.7909999999999999</v>
      </c>
    </row>
    <row r="991" spans="1:17" x14ac:dyDescent="0.25">
      <c r="A991" s="2" t="s">
        <v>6081</v>
      </c>
      <c r="B991" s="3">
        <v>43560</v>
      </c>
      <c r="C991" s="2" t="s">
        <v>6082</v>
      </c>
      <c r="D991" t="s">
        <v>6175</v>
      </c>
      <c r="E991" s="2">
        <v>6</v>
      </c>
      <c r="F991" s="2" t="str">
        <f>_xlfn.XLOOKUP(C991,customers!$A$1:$A$1001,customers!$B$1:$B$1001,,0)</f>
        <v>Herta Layne</v>
      </c>
      <c r="G991" s="2" t="str">
        <f>IF(_xlfn.XLOOKUP(C991,customers!$A$1:$A$1001,customers!$C$1:$C$1001, ,0)=0,"",_xlfn.XLOOKUP(C991,customers!$A$1:$A$1001,customers!$C$1:$C$1001, ,0))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c r="Q991" s="5">
        <f>_xlfn.XLOOKUP(Orders[[#This Row],[Product ID]],products!$A$1:$A$49,products!$G$1:$G$49) *Orders[[#This Row],[Quantity]]</f>
        <v>13.972499999999997</v>
      </c>
    </row>
    <row r="992" spans="1:17"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 ,0)=0,"",_xlfn.XLOOKUP(C992,customers!$A$1:$A$1001,customers!$C$1:$C$1001, ,0))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c r="Q992" s="5">
        <f>_xlfn.XLOOKUP(Orders[[#This Row],[Product ID]],products!$A$1:$A$49,products!$G$1:$G$49) *Orders[[#This Row],[Quantity]]</f>
        <v>2.00475</v>
      </c>
    </row>
    <row r="993" spans="1:17"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 ,0)=0,"",_xlfn.XLOOKUP(C993,customers!$A$1:$A$1001,customers!$C$1:$C$1001, ,0))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c r="Q993" s="5">
        <f>_xlfn.XLOOKUP(Orders[[#This Row],[Product ID]],products!$A$1:$A$49,products!$G$1:$G$49) *Orders[[#This Row],[Quantity]]</f>
        <v>2.0202</v>
      </c>
    </row>
    <row r="994" spans="1:17" x14ac:dyDescent="0.25">
      <c r="A994" s="2" t="s">
        <v>6096</v>
      </c>
      <c r="B994" s="3">
        <v>44276</v>
      </c>
      <c r="C994" s="2" t="s">
        <v>6097</v>
      </c>
      <c r="D994" t="s">
        <v>6164</v>
      </c>
      <c r="E994" s="2">
        <v>3</v>
      </c>
      <c r="F994" s="2" t="str">
        <f>_xlfn.XLOOKUP(C994,customers!$A$1:$A$1001,customers!$B$1:$B$1001,,0)</f>
        <v>Desdemona Eye</v>
      </c>
      <c r="G994" s="2" t="str">
        <f>IF(_xlfn.XLOOKUP(C994,customers!$A$1:$A$1001,customers!$C$1:$C$1001, ,0)=0,"",_xlfn.XLOOKUP(C994,customers!$A$1:$A$1001,customers!$C$1:$C$1001, ,0))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c r="Q994" s="5">
        <f>_xlfn.XLOOKUP(Orders[[#This Row],[Product ID]],products!$A$1:$A$49,products!$G$1:$G$49) *Orders[[#This Row],[Quantity]]</f>
        <v>14.217449999999999</v>
      </c>
    </row>
    <row r="995" spans="1:17"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 ,0)=0,"",_xlfn.XLOOKUP(C995,customers!$A$1:$A$1001,customers!$C$1:$C$1001, ,0))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c r="Q995" s="5">
        <f>_xlfn.XLOOKUP(Orders[[#This Row],[Product ID]],products!$A$1:$A$49,products!$G$1:$G$49) *Orders[[#This Row],[Quantity]]</f>
        <v>6.9930000000000003</v>
      </c>
    </row>
    <row r="996" spans="1:17"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 ,0)=0,"",_xlfn.XLOOKUP(C996,customers!$A$1:$A$1001,customers!$C$1:$C$1001, ,0))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c r="Q996" s="5">
        <f>_xlfn.XLOOKUP(Orders[[#This Row],[Product ID]],products!$A$1:$A$49,products!$G$1:$G$49) *Orders[[#This Row],[Quantity]]</f>
        <v>0.80594999999999994</v>
      </c>
    </row>
    <row r="997" spans="1:17" x14ac:dyDescent="0.25">
      <c r="A997" s="2" t="s">
        <v>6111</v>
      </c>
      <c r="B997" s="3">
        <v>43836</v>
      </c>
      <c r="C997" s="2" t="s">
        <v>6112</v>
      </c>
      <c r="D997" t="s">
        <v>6142</v>
      </c>
      <c r="E997" s="2">
        <v>1</v>
      </c>
      <c r="F997" s="2" t="str">
        <f>_xlfn.XLOOKUP(C997,customers!$A$1:$A$1001,customers!$B$1:$B$1001,,0)</f>
        <v>Jennica Tewelson</v>
      </c>
      <c r="G997" s="2" t="str">
        <f>IF(_xlfn.XLOOKUP(C997,customers!$A$1:$A$1001,customers!$C$1:$C$1001, ,0)=0,"",_xlfn.XLOOKUP(C997,customers!$A$1:$A$1001,customers!$C$1:$C$1001, ,0))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c r="Q997" s="5">
        <f>_xlfn.XLOOKUP(Orders[[#This Row],[Product ID]],products!$A$1:$A$49,products!$G$1:$G$49) *Orders[[#This Row],[Quantity]]</f>
        <v>1.6490999999999998</v>
      </c>
    </row>
    <row r="998" spans="1:17"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 ,0)=0,"",_xlfn.XLOOKUP(C998,customers!$A$1:$A$1001,customers!$C$1:$C$1001, ,0))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c r="Q998" s="5">
        <f>_xlfn.XLOOKUP(Orders[[#This Row],[Product ID]],products!$A$1:$A$49,products!$G$1:$G$49) *Orders[[#This Row],[Quantity]]</f>
        <v>1.7909999999999999</v>
      </c>
    </row>
    <row r="999" spans="1:17"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 ,0)=0,"",_xlfn.XLOOKUP(C999,customers!$A$1:$A$1001,customers!$C$1:$C$1001, ,0))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c r="Q999" s="5">
        <f>_xlfn.XLOOKUP(Orders[[#This Row],[Product ID]],products!$A$1:$A$49,products!$G$1:$G$49) *Orders[[#This Row],[Quantity]]</f>
        <v>2.4299999999999997</v>
      </c>
    </row>
    <row r="1000" spans="1:17"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 ,0)=0,"",_xlfn.XLOOKUP(C1000,customers!$A$1:$A$1001,customers!$C$1:$C$1001, ,0))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c r="Q1000" s="5">
        <f>_xlfn.XLOOKUP(Orders[[#This Row],[Product ID]],products!$A$1:$A$49,products!$G$1:$G$49) *Orders[[#This Row],[Quantity]]</f>
        <v>0.89549999999999985</v>
      </c>
    </row>
    <row r="1001" spans="1:17"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 ,0)=0,"",_xlfn.XLOOKUP(C1001,customers!$A$1:$A$1001,customers!$C$1:$C$1001, ,0))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c r="Q1001" s="5">
        <f>_xlfn.XLOOKUP(Orders[[#This Row],[Product ID]],products!$A$1:$A$49,products!$G$1:$G$49) *Orders[[#This Row],[Quantity]]</f>
        <v>1.3612500000000001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29" sqref="E29"/>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Total Sales</vt:lpstr>
      <vt:lpstr>Total Profit</vt:lpstr>
      <vt:lpstr>Total Orders</vt:lpstr>
      <vt:lpstr>CountryBarChart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Patryk Konarzewski</cp:lastModifiedBy>
  <cp:revision/>
  <dcterms:created xsi:type="dcterms:W3CDTF">2022-11-26T09:51:45Z</dcterms:created>
  <dcterms:modified xsi:type="dcterms:W3CDTF">2026-01-02T19:06:19Z</dcterms:modified>
  <cp:category/>
  <cp:contentStatus/>
</cp:coreProperties>
</file>